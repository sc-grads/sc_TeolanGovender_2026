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0" documentId="8_{5D82F9B9-C95B-4FD6-8C4D-B31A7BFF422D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3" i="1" l="1"/>
  <c r="H51" i="1"/>
  <c r="H50" i="1"/>
  <c r="H49" i="1"/>
  <c r="H48" i="1"/>
  <c r="H47" i="1"/>
  <c r="H46" i="1"/>
  <c r="H44" i="1"/>
  <c r="H43" i="1"/>
  <c r="H42" i="1"/>
  <c r="H40" i="1"/>
  <c r="H39" i="1"/>
  <c r="H38" i="1"/>
  <c r="H36" i="1"/>
  <c r="H35" i="1"/>
  <c r="H34" i="1"/>
  <c r="H9" i="6"/>
  <c r="H11" i="5"/>
  <c r="H9" i="3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55" i="1"/>
  <c r="H39" i="4"/>
  <c r="D14" i="9"/>
  <c r="F17" i="8"/>
  <c r="B6" i="8" s="1"/>
  <c r="H31" i="3" l="1"/>
  <c r="H12" i="4" l="1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7" i="1"/>
  <c r="H18" i="1"/>
  <c r="H24" i="1"/>
  <c r="H25" i="1"/>
  <c r="H31" i="1"/>
  <c r="H32" i="1"/>
  <c r="H33" i="1"/>
  <c r="H37" i="1"/>
  <c r="H41" i="1"/>
  <c r="H45" i="1"/>
  <c r="H52" i="1"/>
  <c r="H54" i="1"/>
  <c r="F60" i="1" l="1"/>
  <c r="F61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62" i="1"/>
  <c r="B6" i="1"/>
</calcChain>
</file>

<file path=xl/sharedStrings.xml><?xml version="1.0" encoding="utf-8"?>
<sst xmlns="http://schemas.openxmlformats.org/spreadsheetml/2006/main" count="598" uniqueCount="235">
  <si>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</si>
  <si>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</si>
  <si>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</si>
  <si>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</si>
  <si>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</si>
  <si>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</si>
  <si>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</si>
  <si>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</si>
  <si>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</si>
  <si>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</si>
  <si>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</si>
  <si>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</si>
  <si>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</si>
  <si>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</si>
  <si>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</si>
  <si>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</si>
  <si>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</si>
  <si>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</si>
  <si>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</si>
  <si>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</si>
  <si>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</si>
  <si>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</si>
  <si>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</si>
  <si>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</si>
  <si>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</si>
  <si>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</si>
  <si>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</si>
  <si>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</si>
  <si>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</si>
  <si>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</si>
  <si>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</si>
  <si>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</si>
  <si>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</si>
  <si>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</si>
  <si>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</si>
  <si>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</si>
  <si>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</si>
  <si>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</si>
  <si>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</si>
  <si>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</si>
  <si>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</si>
  <si>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</si>
  <si>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</si>
  <si>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</si>
  <si>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</si>
  <si>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</si>
  <si>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</si>
  <si>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</si>
  <si>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</si>
  <si>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</si>
  <si>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</si>
  <si>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</si>
  <si>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</si>
  <si>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</si>
  <si>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</si>
  <si>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</si>
  <si>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</si>
  <si>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</si>
  <si>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</si>
  <si>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</si>
  <si>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</si>
  <si>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</si>
  <si>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</si>
  <si>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</si>
  <si>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</si>
  <si>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</si>
  <si>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</si>
  <si>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</si>
  <si>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</si>
  <si>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</si>
  <si>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</si>
  <si>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</si>
  <si>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</si>
  <si>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</si>
  <si>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</si>
  <si>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</si>
  <si>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</si>
  <si>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</si>
  <si>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</si>
  <si>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</si>
  <si>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</si>
  <si>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</si>
  <si>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</si>
  <si>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</si>
  <si>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</si>
  <si>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</si>
  <si>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</si>
  <si>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</si>
  <si>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</si>
  <si>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</si>
  <si>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</si>
  <si>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</si>
  <si>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</si>
  <si>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</si>
  <si>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</si>
  <si>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</si>
  <si>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</si>
  <si>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</si>
  <si>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</si>
  <si>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</si>
  <si>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</si>
  <si>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</si>
  <si>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</si>
  <si>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</si>
  <si>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</si>
  <si>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</si>
  <si>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</si>
  <si>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</si>
  <si>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</si>
  <si>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</si>
  <si>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</si>
  <si>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</si>
  <si>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</si>
  <si>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</si>
  <si>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</si>
  <si>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</si>
  <si>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</si>
  <si>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</si>
  <si>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</si>
  <si>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</si>
  <si>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</si>
  <si>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</si>
  <si>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</si>
  <si>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</si>
  <si>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</si>
  <si>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</si>
  <si>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</si>
  <si>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</si>
  <si>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</si>
  <si>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</si>
  <si>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</si>
  <si>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</si>
  <si>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</si>
  <si>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</si>
  <si>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</si>
  <si>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</si>
  <si>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</si>
  <si>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</si>
  <si>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</si>
  <si>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</si>
  <si>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</si>
  <si>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</si>
  <si>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</si>
  <si>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</si>
  <si>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</si>
  <si>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</si>
  <si>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</si>
  <si>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</si>
  <si>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</si>
  <si>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</si>
  <si>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</si>
  <si>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</si>
  <si>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</si>
  <si>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</si>
  <si>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</si>
  <si>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</si>
  <si>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</si>
  <si>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</si>
  <si>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</si>
  <si>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</si>
  <si>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</si>
  <si>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</si>
  <si>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</si>
  <si>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</si>
  <si>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</si>
  <si>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</si>
  <si>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</si>
  <si>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</si>
  <si>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</si>
  <si>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</si>
  <si>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</si>
  <si>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</si>
  <si>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</si>
  <si>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</si>
  <si>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</si>
  <si>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</si>
  <si>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</si>
  <si>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</si>
  <si>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</si>
  <si>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</si>
  <si>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</si>
  <si>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</si>
  <si>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</si>
  <si>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</si>
  <si>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</si>
  <si>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</si>
  <si>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</si>
  <si>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</si>
  <si>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</si>
  <si>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</si>
  <si>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</si>
  <si>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</si>
  <si>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</si>
  <si>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</si>
  <si>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</si>
  <si>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</si>
  <si>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</si>
  <si>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</si>
  <si>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</si>
  <si>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</si>
  <si>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</si>
  <si>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</si>
  <si>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</si>
  <si>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</si>
  <si>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</si>
  <si>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</si>
  <si>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</si>
  <si>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</si>
  <si>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</si>
  <si>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</si>
  <si>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</si>
  <si>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</si>
  <si>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</si>
  <si>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</si>
  <si>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</si>
  <si>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</si>
  <si>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</si>
  <si>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</si>
  <si>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20/05/2026</t>
  </si>
  <si>
    <t>21/05/2026</t>
  </si>
  <si>
    <t>0726646182-kayden2903@gmail.com</t>
  </si>
  <si>
    <t>K.Padayachee</t>
  </si>
  <si>
    <t>Udemy Course Querying Microsoft Sql Server with T-SQL.</t>
  </si>
  <si>
    <t>Meeting with the team to discuss the dashboard</t>
  </si>
  <si>
    <t>High Performers Retrospective.</t>
  </si>
  <si>
    <t>High-Performers Daily Standup.
Udemy Course Querying Microsoft Sql Server with T-SQL.
Mid-day Check in
Udemy Course Querying Microsoft Sql Server with T-SQL.</t>
  </si>
  <si>
    <t>Had a meeting with our team to discuss the project.</t>
  </si>
  <si>
    <t>High-Performers Retrospective</t>
  </si>
  <si>
    <t>Met with the team to discuss the updated dashboard.</t>
  </si>
  <si>
    <t>Udemy Course Querying Microsoft Sql Server with T-SQL.
Mid-day Check in
Udemy Course Querying Microsoft Sql Server with T-SQL.</t>
  </si>
  <si>
    <t>Met with team to discuss the updated dashboard.</t>
  </si>
  <si>
    <t>High-Perfrormers Retrospective</t>
  </si>
  <si>
    <t>Updated Dashboard Presentation.</t>
  </si>
  <si>
    <t>Udemy Course Querying Microsoft Sql Server with T-SQL.
High-Perfrormers Retrospective</t>
  </si>
  <si>
    <t>High-Perfromers Daily Standup
Udemy Course Querying Microsoft Sql Server with T-SQL.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</si>
</sst>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u/>
      <sz val="11"/>
      <color theme="10"/>
      <name val="Tw Cen MT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1" fillId="0" borderId="9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7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86" dataDxfId="8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83" dataDxfId="82" tableBorderDxfId="8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8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0726646182-kayden2903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65"/>
  <sheetViews>
    <sheetView tabSelected="1" topLeftCell="A46" zoomScale="65" zoomScaleNormal="60" workbookViewId="0">
      <selection activeCell="D31" sqref="D3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205</v>
      </c>
      <c r="C5" s="37"/>
      <c r="H5" s="40"/>
    </row>
    <row r="6" spans="1:10" x14ac:dyDescent="0.2">
      <c r="A6" s="37" t="s">
        <v>93</v>
      </c>
      <c r="B6" s="70">
        <f>F60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177</v>
      </c>
      <c r="H9" s="50">
        <f t="shared" ref="H9:H55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/>
      <c r="D12" s="27"/>
      <c r="E12" s="27"/>
      <c r="F12" s="27"/>
      <c r="G12" s="28"/>
      <c r="H12" s="29"/>
      <c r="I12" s="30"/>
      <c r="J12" s="30"/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/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/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/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/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/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/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/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/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/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 t="s">
        <v>125</v>
      </c>
      <c r="D26" s="27"/>
      <c r="E26" s="27"/>
      <c r="F26" s="27"/>
      <c r="G26" s="28"/>
      <c r="H26" s="29"/>
      <c r="I26" s="30"/>
      <c r="J26" s="30"/>
    </row>
    <row r="27" spans="1:10" x14ac:dyDescent="0.2">
      <c r="A27" s="22">
        <v>46161</v>
      </c>
      <c r="B27" s="22" t="s">
        <v>18</v>
      </c>
      <c r="C27" s="27" t="s">
        <v>125</v>
      </c>
      <c r="D27" s="27"/>
      <c r="E27" s="27"/>
      <c r="F27" s="27"/>
      <c r="G27" s="40"/>
      <c r="H27" s="29"/>
      <c r="I27" s="30"/>
      <c r="J27" s="30"/>
    </row>
    <row r="28" spans="1:10" x14ac:dyDescent="0.2">
      <c r="A28" s="22">
        <v>46162</v>
      </c>
      <c r="B28" s="22" t="s">
        <v>19</v>
      </c>
      <c r="C28" s="27" t="s">
        <v>125</v>
      </c>
      <c r="D28" s="27"/>
      <c r="E28" s="27"/>
      <c r="F28" s="27"/>
      <c r="G28" s="28"/>
      <c r="H28" s="29"/>
      <c r="I28" s="30"/>
      <c r="J28" s="30"/>
    </row>
    <row r="29" spans="1:10" x14ac:dyDescent="0.2">
      <c r="A29" s="22">
        <v>46163</v>
      </c>
      <c r="B29" s="22" t="s">
        <v>20</v>
      </c>
      <c r="C29" s="27" t="s">
        <v>125</v>
      </c>
      <c r="D29" s="27"/>
      <c r="E29" s="27"/>
      <c r="F29" s="27"/>
      <c r="G29" s="28"/>
      <c r="H29" s="29"/>
      <c r="I29" s="30"/>
      <c r="J29" s="30"/>
    </row>
    <row r="30" spans="1:10" x14ac:dyDescent="0.2">
      <c r="A30" s="22">
        <v>46164</v>
      </c>
      <c r="B30" s="22" t="s">
        <v>11</v>
      </c>
      <c r="C30" s="27" t="s">
        <v>125</v>
      </c>
      <c r="D30" s="27"/>
      <c r="E30" s="27"/>
      <c r="F30" s="27"/>
      <c r="G30" s="28"/>
      <c r="H30" s="29"/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ht="75.599999999999994" x14ac:dyDescent="0.2">
      <c r="A33" s="22">
        <v>46167</v>
      </c>
      <c r="B33" s="22" t="s">
        <v>17</v>
      </c>
      <c r="C33" s="27" t="s">
        <v>125</v>
      </c>
      <c r="D33" s="27"/>
      <c r="E33" s="27" t="s">
        <v>41</v>
      </c>
      <c r="F33" s="27" t="s">
        <v>15</v>
      </c>
      <c r="G33" s="28" t="s">
        <v>225</v>
      </c>
      <c r="H33" s="29">
        <f t="shared" si="0"/>
        <v>0.20694444444444443</v>
      </c>
      <c r="I33" s="30">
        <v>0.33333333333333331</v>
      </c>
      <c r="J33" s="30">
        <v>0.54027777777777775</v>
      </c>
    </row>
    <row r="34" spans="1:10" ht="25.2" x14ac:dyDescent="0.2">
      <c r="A34" s="22">
        <v>46167</v>
      </c>
      <c r="B34" s="22" t="s">
        <v>17</v>
      </c>
      <c r="C34" s="27" t="s">
        <v>125</v>
      </c>
      <c r="D34" s="27"/>
      <c r="E34" s="27" t="s">
        <v>41</v>
      </c>
      <c r="F34" s="27" t="s">
        <v>15</v>
      </c>
      <c r="G34" s="28" t="s">
        <v>222</v>
      </c>
      <c r="H34" s="29">
        <f t="shared" si="0"/>
        <v>2.3611111111111027E-2</v>
      </c>
      <c r="I34" s="30">
        <v>0.5805555555555556</v>
      </c>
      <c r="J34" s="30">
        <v>0.60416666666666663</v>
      </c>
    </row>
    <row r="35" spans="1:10" ht="25.2" x14ac:dyDescent="0.2">
      <c r="A35" s="22">
        <v>46167</v>
      </c>
      <c r="B35" s="22" t="s">
        <v>17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6.1805555555555558E-2</v>
      </c>
      <c r="I35" s="30">
        <v>0.60416666666666663</v>
      </c>
      <c r="J35" s="30">
        <v>0.66597222222222219</v>
      </c>
    </row>
    <row r="36" spans="1:10" x14ac:dyDescent="0.2">
      <c r="A36" s="22">
        <v>46167</v>
      </c>
      <c r="B36" s="22" t="s">
        <v>17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0"/>
        <v>5.2777777777777812E-2</v>
      </c>
      <c r="I36" s="30">
        <v>0.66666666666666663</v>
      </c>
      <c r="J36" s="30">
        <v>0.71944444444444444</v>
      </c>
    </row>
    <row r="37" spans="1:10" ht="75.599999999999994" x14ac:dyDescent="0.2">
      <c r="A37" s="22">
        <v>46168</v>
      </c>
      <c r="B37" s="22" t="s">
        <v>18</v>
      </c>
      <c r="C37" s="27" t="s">
        <v>125</v>
      </c>
      <c r="D37" s="27"/>
      <c r="E37" s="27" t="s">
        <v>41</v>
      </c>
      <c r="F37" s="27" t="s">
        <v>15</v>
      </c>
      <c r="G37" s="28" t="s">
        <v>225</v>
      </c>
      <c r="H37" s="29">
        <f t="shared" si="0"/>
        <v>0.20902777777777776</v>
      </c>
      <c r="I37" s="30">
        <v>0.33333333333333331</v>
      </c>
      <c r="J37" s="30">
        <v>0.54236111111111107</v>
      </c>
    </row>
    <row r="38" spans="1:10" ht="25.2" x14ac:dyDescent="0.2">
      <c r="A38" s="22">
        <v>46168</v>
      </c>
      <c r="B38" s="22" t="s">
        <v>18</v>
      </c>
      <c r="C38" s="27" t="s">
        <v>125</v>
      </c>
      <c r="D38" s="27"/>
      <c r="E38" s="27" t="s">
        <v>41</v>
      </c>
      <c r="F38" s="27" t="s">
        <v>15</v>
      </c>
      <c r="G38" s="28" t="s">
        <v>222</v>
      </c>
      <c r="H38" s="29">
        <f t="shared" si="0"/>
        <v>2.4305555555555469E-2</v>
      </c>
      <c r="I38" s="30">
        <v>0.57986111111111116</v>
      </c>
      <c r="J38" s="30">
        <v>0.60416666666666663</v>
      </c>
    </row>
    <row r="39" spans="1:10" ht="25.2" x14ac:dyDescent="0.2">
      <c r="A39" s="22">
        <v>46168</v>
      </c>
      <c r="B39" s="22" t="s">
        <v>18</v>
      </c>
      <c r="C39" s="27" t="s">
        <v>125</v>
      </c>
      <c r="D39" s="27"/>
      <c r="E39" s="27" t="s">
        <v>62</v>
      </c>
      <c r="F39" s="27" t="s">
        <v>15</v>
      </c>
      <c r="G39" s="28" t="s">
        <v>226</v>
      </c>
      <c r="H39" s="29">
        <f t="shared" si="0"/>
        <v>5.902777777777779E-2</v>
      </c>
      <c r="I39" s="30">
        <v>0.60416666666666663</v>
      </c>
      <c r="J39" s="30">
        <v>0.66319444444444442</v>
      </c>
    </row>
    <row r="40" spans="1:10" x14ac:dyDescent="0.2">
      <c r="A40" s="22">
        <v>46168</v>
      </c>
      <c r="B40" s="22" t="s">
        <v>18</v>
      </c>
      <c r="C40" s="27" t="s">
        <v>125</v>
      </c>
      <c r="D40" s="27"/>
      <c r="E40" s="27" t="s">
        <v>62</v>
      </c>
      <c r="F40" s="27" t="s">
        <v>15</v>
      </c>
      <c r="G40" s="28" t="s">
        <v>224</v>
      </c>
      <c r="H40" s="29">
        <f t="shared" si="0"/>
        <v>4.5833333333333393E-2</v>
      </c>
      <c r="I40" s="30">
        <v>0.66666666666666663</v>
      </c>
      <c r="J40" s="30">
        <v>0.71250000000000002</v>
      </c>
    </row>
    <row r="41" spans="1:10" ht="75.599999999999994" x14ac:dyDescent="0.2">
      <c r="A41" s="22">
        <v>46169</v>
      </c>
      <c r="B41" s="22" t="s">
        <v>19</v>
      </c>
      <c r="C41" s="27" t="s">
        <v>125</v>
      </c>
      <c r="D41" s="27"/>
      <c r="E41" s="27" t="s">
        <v>41</v>
      </c>
      <c r="F41" s="27" t="s">
        <v>15</v>
      </c>
      <c r="G41" s="28" t="s">
        <v>225</v>
      </c>
      <c r="H41" s="29">
        <f t="shared" si="0"/>
        <v>0.20347222222222222</v>
      </c>
      <c r="I41" s="30">
        <v>0.33333333333333331</v>
      </c>
      <c r="J41" s="30">
        <v>0.53680555555555554</v>
      </c>
    </row>
    <row r="42" spans="1:10" ht="25.2" x14ac:dyDescent="0.2">
      <c r="A42" s="22">
        <v>46169</v>
      </c>
      <c r="B42" s="22" t="s">
        <v>19</v>
      </c>
      <c r="C42" s="27" t="s">
        <v>125</v>
      </c>
      <c r="D42" s="27"/>
      <c r="E42" s="27" t="s">
        <v>41</v>
      </c>
      <c r="F42" s="27" t="s">
        <v>15</v>
      </c>
      <c r="G42" s="28" t="s">
        <v>222</v>
      </c>
      <c r="H42" s="29">
        <f t="shared" si="0"/>
        <v>6.9444444444445308E-3</v>
      </c>
      <c r="I42" s="30">
        <v>0.57638888888888884</v>
      </c>
      <c r="J42" s="30">
        <v>0.58333333333333337</v>
      </c>
    </row>
    <row r="43" spans="1:10" ht="25.2" x14ac:dyDescent="0.2">
      <c r="A43" s="22">
        <v>46169</v>
      </c>
      <c r="B43" s="22" t="s">
        <v>19</v>
      </c>
      <c r="C43" s="27" t="s">
        <v>125</v>
      </c>
      <c r="D43" s="27"/>
      <c r="E43" s="27" t="s">
        <v>62</v>
      </c>
      <c r="F43" s="27" t="s">
        <v>15</v>
      </c>
      <c r="G43" s="28" t="s">
        <v>226</v>
      </c>
      <c r="H43" s="29">
        <f t="shared" si="0"/>
        <v>8.3333333333333259E-2</v>
      </c>
      <c r="I43" s="30">
        <v>0.58333333333333337</v>
      </c>
      <c r="J43" s="30">
        <v>0.66666666666666663</v>
      </c>
    </row>
    <row r="44" spans="1:10" x14ac:dyDescent="0.2">
      <c r="A44" s="22">
        <v>46169</v>
      </c>
      <c r="B44" s="22" t="s">
        <v>19</v>
      </c>
      <c r="C44" s="27" t="s">
        <v>125</v>
      </c>
      <c r="D44" s="27"/>
      <c r="E44" s="27" t="s">
        <v>62</v>
      </c>
      <c r="F44" s="27" t="s">
        <v>15</v>
      </c>
      <c r="G44" s="28" t="s">
        <v>227</v>
      </c>
      <c r="H44" s="29">
        <f t="shared" si="0"/>
        <v>8.2638888888888928E-2</v>
      </c>
      <c r="I44" s="30">
        <v>0.66666666666666663</v>
      </c>
      <c r="J44" s="30">
        <v>0.74930555555555556</v>
      </c>
    </row>
    <row r="45" spans="1:10" ht="37.799999999999997" x14ac:dyDescent="0.2">
      <c r="A45" s="22">
        <v>46170</v>
      </c>
      <c r="B45" s="22" t="s">
        <v>20</v>
      </c>
      <c r="C45" s="27" t="s">
        <v>125</v>
      </c>
      <c r="D45" s="27"/>
      <c r="E45" s="27" t="s">
        <v>41</v>
      </c>
      <c r="F45" s="27" t="s">
        <v>15</v>
      </c>
      <c r="G45" s="28" t="s">
        <v>234</v>
      </c>
      <c r="H45" s="29">
        <f t="shared" si="0"/>
        <v>4.1666666666666685E-2</v>
      </c>
      <c r="I45" s="30">
        <v>0.33333333333333331</v>
      </c>
      <c r="J45" s="30">
        <v>0.375</v>
      </c>
    </row>
    <row r="46" spans="1:10" ht="25.2" x14ac:dyDescent="0.2">
      <c r="A46" s="22">
        <v>46170</v>
      </c>
      <c r="B46" s="22" t="s">
        <v>20</v>
      </c>
      <c r="C46" s="27" t="s">
        <v>125</v>
      </c>
      <c r="D46" s="27"/>
      <c r="E46" s="27" t="s">
        <v>62</v>
      </c>
      <c r="F46" s="27" t="s">
        <v>15</v>
      </c>
      <c r="G46" s="28" t="s">
        <v>228</v>
      </c>
      <c r="H46" s="29">
        <f t="shared" si="0"/>
        <v>6.3194444444444442E-2</v>
      </c>
      <c r="I46" s="30">
        <v>0.37569444444444444</v>
      </c>
      <c r="J46" s="30">
        <v>0.43888888888888888</v>
      </c>
    </row>
    <row r="47" spans="1:10" ht="63" x14ac:dyDescent="0.2">
      <c r="A47" s="22">
        <v>46170</v>
      </c>
      <c r="B47" s="22" t="s">
        <v>20</v>
      </c>
      <c r="C47" s="27" t="s">
        <v>125</v>
      </c>
      <c r="D47" s="27"/>
      <c r="E47" s="27" t="s">
        <v>41</v>
      </c>
      <c r="F47" s="27" t="s">
        <v>15</v>
      </c>
      <c r="G47" s="28" t="s">
        <v>229</v>
      </c>
      <c r="H47" s="29">
        <f t="shared" si="0"/>
        <v>0.1020833333333333</v>
      </c>
      <c r="I47" s="30">
        <v>0.43888888888888888</v>
      </c>
      <c r="J47" s="30">
        <v>0.54097222222222219</v>
      </c>
    </row>
    <row r="48" spans="1:10" ht="25.2" x14ac:dyDescent="0.2">
      <c r="A48" s="22">
        <v>46170</v>
      </c>
      <c r="B48" s="22" t="s">
        <v>20</v>
      </c>
      <c r="C48" s="27" t="s">
        <v>125</v>
      </c>
      <c r="D48" s="27"/>
      <c r="E48" s="27" t="s">
        <v>41</v>
      </c>
      <c r="F48" s="27" t="s">
        <v>15</v>
      </c>
      <c r="G48" s="28" t="s">
        <v>222</v>
      </c>
      <c r="H48" s="29">
        <f t="shared" si="0"/>
        <v>4.4444444444444398E-2</v>
      </c>
      <c r="I48" s="30">
        <v>0.5805555555555556</v>
      </c>
      <c r="J48" s="30">
        <v>0.625</v>
      </c>
    </row>
    <row r="49" spans="1:10" ht="25.2" x14ac:dyDescent="0.2">
      <c r="A49" s="22">
        <v>46170</v>
      </c>
      <c r="B49" s="22" t="s">
        <v>20</v>
      </c>
      <c r="C49" s="27" t="s">
        <v>125</v>
      </c>
      <c r="D49" s="27"/>
      <c r="E49" s="27" t="s">
        <v>62</v>
      </c>
      <c r="F49" s="27" t="s">
        <v>15</v>
      </c>
      <c r="G49" s="28" t="s">
        <v>230</v>
      </c>
      <c r="H49" s="29">
        <f t="shared" si="0"/>
        <v>4.166666666666663E-2</v>
      </c>
      <c r="I49" s="30">
        <v>0.625</v>
      </c>
      <c r="J49" s="30">
        <v>0.66666666666666663</v>
      </c>
    </row>
    <row r="50" spans="1:10" x14ac:dyDescent="0.2">
      <c r="A50" s="22">
        <v>46170</v>
      </c>
      <c r="B50" s="22" t="s">
        <v>20</v>
      </c>
      <c r="C50" s="27" t="s">
        <v>125</v>
      </c>
      <c r="D50" s="27"/>
      <c r="E50" s="27" t="s">
        <v>62</v>
      </c>
      <c r="F50" s="27" t="s">
        <v>15</v>
      </c>
      <c r="G50" s="28" t="s">
        <v>231</v>
      </c>
      <c r="H50" s="29">
        <f t="shared" si="0"/>
        <v>4.1666666666666741E-2</v>
      </c>
      <c r="I50" s="30">
        <v>0.66666666666666663</v>
      </c>
      <c r="J50" s="30">
        <v>0.70833333333333337</v>
      </c>
    </row>
    <row r="51" spans="1:10" x14ac:dyDescent="0.2">
      <c r="A51" s="22">
        <v>46170</v>
      </c>
      <c r="B51" s="22" t="s">
        <v>20</v>
      </c>
      <c r="C51" s="27" t="s">
        <v>125</v>
      </c>
      <c r="D51" s="27"/>
      <c r="E51" s="27" t="s">
        <v>62</v>
      </c>
      <c r="F51" s="27" t="s">
        <v>15</v>
      </c>
      <c r="G51" s="28" t="s">
        <v>232</v>
      </c>
      <c r="H51" s="29">
        <f t="shared" si="0"/>
        <v>1.9444444444444375E-2</v>
      </c>
      <c r="I51" s="30">
        <v>0.70833333333333337</v>
      </c>
      <c r="J51" s="30">
        <v>0.72777777777777775</v>
      </c>
    </row>
    <row r="52" spans="1:10" ht="63" x14ac:dyDescent="0.2">
      <c r="A52" s="22">
        <v>46171</v>
      </c>
      <c r="B52" s="22" t="s">
        <v>11</v>
      </c>
      <c r="C52" s="27" t="s">
        <v>125</v>
      </c>
      <c r="D52" s="27"/>
      <c r="E52" s="27" t="s">
        <v>41</v>
      </c>
      <c r="F52" s="27" t="s">
        <v>15</v>
      </c>
      <c r="G52" s="28" t="s">
        <v>229</v>
      </c>
      <c r="H52" s="29">
        <f t="shared" si="0"/>
        <v>0.20694444444444443</v>
      </c>
      <c r="I52" s="30">
        <v>0.33333333333333331</v>
      </c>
      <c r="J52" s="30">
        <v>0.54027777777777775</v>
      </c>
    </row>
    <row r="53" spans="1:10" ht="37.799999999999997" x14ac:dyDescent="0.2">
      <c r="A53" s="22">
        <v>46171</v>
      </c>
      <c r="B53" s="22" t="s">
        <v>11</v>
      </c>
      <c r="C53" s="27" t="s">
        <v>125</v>
      </c>
      <c r="D53" s="27"/>
      <c r="E53" s="27" t="s">
        <v>41</v>
      </c>
      <c r="F53" s="27" t="s">
        <v>15</v>
      </c>
      <c r="G53" s="28" t="s">
        <v>233</v>
      </c>
      <c r="H53" s="29">
        <f t="shared" si="0"/>
        <v>0.15416666666666656</v>
      </c>
      <c r="I53" s="30">
        <v>0.57916666666666672</v>
      </c>
      <c r="J53" s="30">
        <v>0.73333333333333328</v>
      </c>
    </row>
    <row r="54" spans="1:10" x14ac:dyDescent="0.2">
      <c r="A54" s="31">
        <v>46172</v>
      </c>
      <c r="B54" s="31" t="s">
        <v>14</v>
      </c>
      <c r="C54" s="32"/>
      <c r="D54" s="32"/>
      <c r="E54" s="32"/>
      <c r="F54" s="32"/>
      <c r="G54" s="33"/>
      <c r="H54" s="34">
        <f t="shared" si="0"/>
        <v>0</v>
      </c>
      <c r="I54" s="35"/>
      <c r="J54" s="35"/>
    </row>
    <row r="55" spans="1:10" ht="13.95" customHeight="1" x14ac:dyDescent="0.25">
      <c r="A55" s="31">
        <v>46173</v>
      </c>
      <c r="B55" s="31" t="s">
        <v>16</v>
      </c>
      <c r="C55" s="32"/>
      <c r="D55" s="95"/>
      <c r="E55" s="95"/>
      <c r="F55" s="32"/>
      <c r="G55" s="95"/>
      <c r="H55" s="34">
        <f t="shared" si="0"/>
        <v>0</v>
      </c>
      <c r="I55" s="96"/>
      <c r="J55" s="32"/>
    </row>
    <row r="56" spans="1:10" ht="13.95" customHeight="1" thickBot="1" x14ac:dyDescent="0.3">
      <c r="A56" s="46"/>
      <c r="B56" s="45"/>
      <c r="C56" s="45"/>
      <c r="D56" s="45"/>
      <c r="E56" s="45"/>
      <c r="F56" s="45"/>
      <c r="G56" s="45"/>
      <c r="H56" s="36"/>
      <c r="I56" s="37"/>
    </row>
    <row r="57" spans="1:10" ht="13.95" customHeight="1" x14ac:dyDescent="0.25">
      <c r="A57" s="4"/>
      <c r="B57" s="4"/>
      <c r="C57" s="5"/>
      <c r="D57" s="6"/>
      <c r="E57" s="7" t="s">
        <v>21</v>
      </c>
      <c r="F57" s="8">
        <v>160</v>
      </c>
      <c r="H57" s="40"/>
    </row>
    <row r="58" spans="1:10" ht="13.95" customHeight="1" thickBot="1" x14ac:dyDescent="0.3">
      <c r="A58" s="4"/>
      <c r="B58" s="4"/>
      <c r="C58" s="9"/>
      <c r="D58" s="2"/>
      <c r="E58" s="10" t="s">
        <v>22</v>
      </c>
      <c r="F58" s="11">
        <v>20</v>
      </c>
      <c r="H58" s="40"/>
    </row>
    <row r="59" spans="1:10" ht="13.95" customHeight="1" thickBot="1" x14ac:dyDescent="0.3">
      <c r="A59" s="120" t="s">
        <v>23</v>
      </c>
      <c r="B59" s="120"/>
      <c r="C59" s="120"/>
      <c r="D59" s="12"/>
      <c r="E59" s="2"/>
      <c r="F59" s="2"/>
      <c r="H59" s="40"/>
    </row>
    <row r="60" spans="1:10" ht="13.8" x14ac:dyDescent="0.25">
      <c r="A60" s="13"/>
      <c r="B60" s="13"/>
      <c r="C60" s="6"/>
      <c r="D60" s="6"/>
      <c r="E60" s="14" t="s">
        <v>24</v>
      </c>
      <c r="F60" s="15">
        <f>SUMIF(F9:F55,"Billable",H9:H55)</f>
        <v>0</v>
      </c>
      <c r="H60" s="38"/>
    </row>
    <row r="61" spans="1:10" ht="15" customHeight="1" thickBot="1" x14ac:dyDescent="0.3">
      <c r="A61" s="121" t="s">
        <v>25</v>
      </c>
      <c r="B61" s="121"/>
      <c r="C61" s="121"/>
      <c r="D61" s="16"/>
      <c r="E61" s="17" t="s">
        <v>26</v>
      </c>
      <c r="F61" s="18">
        <f>SUMIF(F9:F55,"Non-Billable",H9:H55)</f>
        <v>2.1083333333333329</v>
      </c>
      <c r="H61" s="40"/>
    </row>
    <row r="62" spans="1:10" ht="14.4" thickBot="1" x14ac:dyDescent="0.3">
      <c r="A62" s="2"/>
      <c r="B62" s="2"/>
      <c r="C62" s="2"/>
      <c r="D62" s="2"/>
      <c r="E62" s="19" t="s">
        <v>27</v>
      </c>
      <c r="F62" s="44">
        <f>F60+F61</f>
        <v>2.1083333333333329</v>
      </c>
      <c r="H62" s="40"/>
    </row>
    <row r="63" spans="1:10" ht="13.8" thickBot="1" x14ac:dyDescent="0.3">
      <c r="A63" s="2"/>
      <c r="B63" s="2"/>
      <c r="C63" s="2"/>
      <c r="D63" s="2"/>
      <c r="E63" s="2"/>
      <c r="F63" s="2"/>
      <c r="H63" s="40"/>
    </row>
    <row r="64" spans="1:10" ht="13.8" thickBot="1" x14ac:dyDescent="0.3">
      <c r="A64" s="2"/>
      <c r="B64" s="2"/>
      <c r="C64" s="2"/>
      <c r="D64" s="2"/>
      <c r="E64" s="20" t="s">
        <v>28</v>
      </c>
      <c r="F64" s="21"/>
      <c r="H64" s="40"/>
    </row>
    <row r="65" spans="5:8" ht="13.2" thickBot="1" x14ac:dyDescent="0.25">
      <c r="E65" s="39"/>
      <c r="H65" s="40"/>
    </row>
  </sheetData>
  <mergeCells count="2">
    <mergeCell ref="A59:C59"/>
    <mergeCell ref="A61:C61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65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55:E57 D59:E61 E64">
    <cfRule type="containsText" dxfId="70" priority="1" operator="containsText" text="Religious Leave">
      <formula>NOT(ISERROR(SEARCH("Religious Leave",D55)))</formula>
    </cfRule>
    <cfRule type="containsText" dxfId="69" priority="2" operator="containsText" text="Birthday Leave">
      <formula>NOT(ISERROR(SEARCH("Birthday Leave",D55)))</formula>
    </cfRule>
    <cfRule type="containsText" dxfId="68" priority="3" operator="containsText" text="Study Leave">
      <formula>NOT(ISERROR(SEARCH("Study Leave",D55)))</formula>
    </cfRule>
    <cfRule type="containsText" dxfId="67" priority="4" operator="containsText" text="Family Responsibility Leave">
      <formula>NOT(ISERROR(SEARCH("Family Responsibility Leave",D55)))</formula>
    </cfRule>
    <cfRule type="containsText" dxfId="66" priority="5" operator="containsText" text="Sick Leave">
      <formula>NOT(ISERROR(SEARCH("Sick Leave",D55)))</formula>
    </cfRule>
    <cfRule type="containsText" dxfId="65" priority="6" operator="containsText" text="Annual Leave">
      <formula>NOT(ISERROR(SEARCH("Annual Leave",D55)))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4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F9:F55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E9:E54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0" t="s">
        <v>23</v>
      </c>
      <c r="B42" s="120"/>
      <c r="C42" s="12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1" t="s">
        <v>25</v>
      </c>
      <c r="B44" s="121"/>
      <c r="C44" s="121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0" t="s">
        <v>23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25</v>
      </c>
      <c r="B45" s="121"/>
      <c r="C45" s="121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179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196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0" t="s">
        <v>23</v>
      </c>
      <c r="B43" s="120"/>
      <c r="C43" s="12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1" t="s">
        <v>25</v>
      </c>
      <c r="B45" s="121"/>
      <c r="C45" s="121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180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0" t="s">
        <v>23</v>
      </c>
      <c r="B42" s="120"/>
      <c r="C42" s="12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1" t="s">
        <v>25</v>
      </c>
      <c r="B44" s="121"/>
      <c r="C44" s="121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7" t="s">
        <v>2</v>
      </c>
      <c r="B5" s="23" t="s">
        <v>106</v>
      </c>
      <c r="C5" s="84"/>
      <c r="D5" s="84"/>
      <c r="E5" s="84"/>
      <c r="F5" s="84"/>
    </row>
    <row r="6" spans="1:15" x14ac:dyDescent="0.2">
      <c r="A6" s="77" t="s">
        <v>165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30" t="s">
        <v>166</v>
      </c>
      <c r="B8" s="130"/>
      <c r="C8" s="130"/>
      <c r="D8" s="130"/>
      <c r="E8" s="130"/>
      <c r="F8" s="130"/>
    </row>
    <row r="9" spans="1:15" ht="13.5" customHeight="1" thickBot="1" x14ac:dyDescent="0.25">
      <c r="A9" s="80" t="s">
        <v>170</v>
      </c>
      <c r="B9" s="133" t="s">
        <v>167</v>
      </c>
      <c r="C9" s="134"/>
      <c r="D9" s="133" t="s">
        <v>94</v>
      </c>
      <c r="E9" s="134"/>
      <c r="F9" s="81" t="s">
        <v>95</v>
      </c>
    </row>
    <row r="10" spans="1:15" x14ac:dyDescent="0.2">
      <c r="A10" s="76">
        <v>46113</v>
      </c>
      <c r="B10" s="124" t="s">
        <v>168</v>
      </c>
      <c r="C10" s="124"/>
      <c r="D10" s="124" t="s">
        <v>123</v>
      </c>
      <c r="E10" s="124"/>
      <c r="F10" s="75">
        <v>200</v>
      </c>
      <c r="G10" s="131" t="s">
        <v>169</v>
      </c>
      <c r="H10" s="132"/>
      <c r="I10" s="132"/>
      <c r="J10" s="132"/>
      <c r="K10" s="132"/>
      <c r="L10" s="132"/>
      <c r="M10" s="132"/>
      <c r="N10" s="132"/>
      <c r="O10" s="132"/>
    </row>
    <row r="11" spans="1:15" x14ac:dyDescent="0.2">
      <c r="A11" s="76">
        <v>46113</v>
      </c>
      <c r="B11" s="122" t="s">
        <v>171</v>
      </c>
      <c r="C11" s="123"/>
      <c r="D11" s="124" t="s">
        <v>128</v>
      </c>
      <c r="E11" s="124"/>
      <c r="F11" s="75"/>
    </row>
    <row r="12" spans="1:15" x14ac:dyDescent="0.2">
      <c r="A12" s="76">
        <v>46113</v>
      </c>
      <c r="B12" s="122" t="s">
        <v>172</v>
      </c>
      <c r="C12" s="123"/>
      <c r="D12" s="124"/>
      <c r="E12" s="124"/>
      <c r="F12" s="75"/>
    </row>
    <row r="13" spans="1:15" x14ac:dyDescent="0.2">
      <c r="A13" s="76">
        <v>46113</v>
      </c>
      <c r="B13" s="122"/>
      <c r="C13" s="123"/>
      <c r="D13" s="124"/>
      <c r="E13" s="124"/>
      <c r="F13" s="75"/>
    </row>
    <row r="14" spans="1:15" x14ac:dyDescent="0.2">
      <c r="A14" s="76">
        <v>46113</v>
      </c>
      <c r="B14" s="122"/>
      <c r="C14" s="123"/>
      <c r="D14" s="124"/>
      <c r="E14" s="124"/>
      <c r="F14" s="75"/>
    </row>
    <row r="15" spans="1:15" x14ac:dyDescent="0.2">
      <c r="A15" s="76">
        <v>46113</v>
      </c>
      <c r="B15" s="128"/>
      <c r="C15" s="129"/>
      <c r="D15" s="124"/>
      <c r="E15" s="124"/>
      <c r="F15" s="75"/>
    </row>
    <row r="16" spans="1:15" ht="13.2" thickBot="1" x14ac:dyDescent="0.25">
      <c r="A16" s="76">
        <v>46113</v>
      </c>
      <c r="B16" s="122"/>
      <c r="C16" s="123"/>
      <c r="D16" s="124"/>
      <c r="E16" s="124"/>
      <c r="F16" s="75"/>
    </row>
    <row r="17" spans="1:6" ht="13.5" customHeight="1" thickBot="1" x14ac:dyDescent="0.25">
      <c r="A17" s="125" t="s">
        <v>96</v>
      </c>
      <c r="B17" s="126"/>
      <c r="C17" s="126"/>
      <c r="D17" s="126"/>
      <c r="E17" s="127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K21" sqref="K21"/>
    </sheetView>
  </sheetViews>
  <sheetFormatPr defaultColWidth="8.69921875" defaultRowHeight="12.6" x14ac:dyDescent="0.2"/>
  <cols>
    <col min="1" max="1" width="15.5" style="23" bestFit="1" customWidth="1"/>
    <col min="2" max="2" width="14.5" style="23" customWidth="1"/>
    <col min="3" max="3" width="9.796875" style="23" customWidth="1"/>
    <col min="4" max="16384" width="8.69921875" style="23"/>
  </cols>
  <sheetData>
    <row r="4" spans="1:6" x14ac:dyDescent="0.2">
      <c r="A4" s="135"/>
      <c r="B4" s="135"/>
    </row>
    <row r="5" spans="1:6" x14ac:dyDescent="0.2">
      <c r="A5" s="37" t="s">
        <v>2</v>
      </c>
      <c r="B5" s="23" t="s">
        <v>205</v>
      </c>
    </row>
    <row r="6" spans="1:6" x14ac:dyDescent="0.2">
      <c r="A6" s="77" t="s">
        <v>174</v>
      </c>
      <c r="B6" s="77" t="s">
        <v>218</v>
      </c>
    </row>
    <row r="7" spans="1:6" x14ac:dyDescent="0.2">
      <c r="A7" s="93" t="s">
        <v>175</v>
      </c>
      <c r="B7" s="93" t="s">
        <v>219</v>
      </c>
    </row>
    <row r="8" spans="1:6" x14ac:dyDescent="0.2">
      <c r="A8" s="94"/>
      <c r="B8" s="83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5" t="s">
        <v>97</v>
      </c>
      <c r="B10" s="85" t="s">
        <v>98</v>
      </c>
      <c r="C10" s="85" t="s">
        <v>99</v>
      </c>
      <c r="D10" s="85" t="s">
        <v>100</v>
      </c>
      <c r="E10" s="85" t="s">
        <v>101</v>
      </c>
      <c r="F10" s="85" t="s">
        <v>102</v>
      </c>
    </row>
    <row r="11" spans="1:6" x14ac:dyDescent="0.2">
      <c r="A11" s="85" t="s">
        <v>81</v>
      </c>
      <c r="B11" s="115">
        <v>46162</v>
      </c>
      <c r="C11" s="115">
        <v>46163</v>
      </c>
      <c r="D11" s="85">
        <v>1</v>
      </c>
      <c r="E11" s="85"/>
      <c r="F11" s="85" t="s">
        <v>191</v>
      </c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1</v>
      </c>
      <c r="E14" s="87"/>
      <c r="F14" s="89"/>
    </row>
    <row r="15" spans="1:6" ht="13.2" thickBot="1" x14ac:dyDescent="0.25">
      <c r="A15" s="140"/>
      <c r="B15" s="141"/>
      <c r="C15" s="141"/>
      <c r="D15" s="141"/>
      <c r="E15" s="141"/>
      <c r="F15" s="141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6" t="s">
        <v>220</v>
      </c>
      <c r="B17" s="137"/>
      <c r="C17" s="137"/>
      <c r="D17" s="137"/>
      <c r="E17" s="137"/>
      <c r="F17" s="138"/>
    </row>
    <row r="18" spans="1:6" x14ac:dyDescent="0.2">
      <c r="A18" s="139"/>
      <c r="B18" s="137"/>
      <c r="C18" s="137"/>
      <c r="D18" s="137"/>
      <c r="E18" s="137"/>
      <c r="F18" s="138"/>
    </row>
    <row r="19" spans="1:6" ht="13.2" thickBot="1" x14ac:dyDescent="0.25">
      <c r="A19" s="140"/>
      <c r="B19" s="141"/>
      <c r="C19" s="141"/>
      <c r="D19" s="141"/>
      <c r="E19" s="141"/>
      <c r="F19" s="142"/>
    </row>
    <row r="20" spans="1:6" ht="13.2" thickBot="1" x14ac:dyDescent="0.25"/>
    <row r="21" spans="1:6" x14ac:dyDescent="0.2">
      <c r="A21" s="90" t="s">
        <v>0</v>
      </c>
      <c r="B21" s="143">
        <v>46153</v>
      </c>
      <c r="C21" s="144"/>
      <c r="D21" s="144"/>
      <c r="E21" s="144"/>
      <c r="F21" s="145"/>
    </row>
    <row r="22" spans="1:6" x14ac:dyDescent="0.2">
      <c r="A22" s="91" t="s">
        <v>104</v>
      </c>
      <c r="B22" s="146" t="s">
        <v>221</v>
      </c>
      <c r="C22" s="146"/>
      <c r="D22" s="146"/>
      <c r="E22" s="146"/>
      <c r="F22" s="147"/>
    </row>
    <row r="23" spans="1:6" ht="13.2" thickBot="1" x14ac:dyDescent="0.25">
      <c r="A23" s="92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hyperlinks>
    <hyperlink ref="A17" r:id="rId1" xr:uid="{12B02049-DC18-44E1-B6EA-9DCF3FEDB935}"/>
  </hyperlinks>
  <pageMargins left="0.7" right="0.7" top="0.75" bottom="0.75" header="0.3" footer="0.3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4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4" t="s">
        <v>115</v>
      </c>
      <c r="D3" s="69" t="s">
        <v>30</v>
      </c>
      <c r="F3" s="55" t="s">
        <v>31</v>
      </c>
      <c r="H3" s="66" t="s">
        <v>112</v>
      </c>
      <c r="I3" s="97"/>
      <c r="J3" s="56" t="s">
        <v>15</v>
      </c>
    </row>
    <row r="4" spans="2:10" x14ac:dyDescent="0.3">
      <c r="B4" s="64" t="s">
        <v>126</v>
      </c>
      <c r="D4" s="54" t="s">
        <v>32</v>
      </c>
      <c r="F4" s="57" t="s">
        <v>33</v>
      </c>
      <c r="H4" s="99" t="s">
        <v>82</v>
      </c>
      <c r="I4" s="66"/>
      <c r="J4" s="58" t="s">
        <v>13</v>
      </c>
    </row>
    <row r="5" spans="2:10" x14ac:dyDescent="0.3">
      <c r="B5" s="64" t="s">
        <v>127</v>
      </c>
      <c r="D5" s="69" t="s">
        <v>35</v>
      </c>
      <c r="F5" s="59" t="s">
        <v>36</v>
      </c>
      <c r="H5" s="66" t="s">
        <v>77</v>
      </c>
      <c r="I5" s="98"/>
    </row>
    <row r="6" spans="2:10" x14ac:dyDescent="0.3">
      <c r="B6" s="64" t="s">
        <v>215</v>
      </c>
      <c r="D6" s="54" t="s">
        <v>38</v>
      </c>
      <c r="F6" s="57" t="s">
        <v>39</v>
      </c>
      <c r="H6" s="97" t="s">
        <v>47</v>
      </c>
      <c r="I6" s="99"/>
    </row>
    <row r="7" spans="2:10" x14ac:dyDescent="0.3">
      <c r="B7" s="64" t="s">
        <v>116</v>
      </c>
      <c r="D7" s="69" t="s">
        <v>40</v>
      </c>
      <c r="F7" s="59" t="s">
        <v>41</v>
      </c>
      <c r="H7" s="65" t="s">
        <v>12</v>
      </c>
      <c r="I7" s="100"/>
    </row>
    <row r="8" spans="2:10" x14ac:dyDescent="0.3">
      <c r="B8" s="64" t="s">
        <v>216</v>
      </c>
      <c r="D8" s="54" t="s">
        <v>43</v>
      </c>
      <c r="F8" s="57" t="s">
        <v>44</v>
      </c>
      <c r="H8" s="100" t="s">
        <v>131</v>
      </c>
      <c r="I8" s="97"/>
      <c r="J8" s="52" t="s">
        <v>124</v>
      </c>
    </row>
    <row r="9" spans="2:10" x14ac:dyDescent="0.3">
      <c r="B9" s="64" t="s">
        <v>129</v>
      </c>
      <c r="D9" s="69" t="s">
        <v>45</v>
      </c>
      <c r="F9" s="59" t="s">
        <v>46</v>
      </c>
      <c r="H9" s="101" t="s">
        <v>181</v>
      </c>
      <c r="I9" s="97"/>
      <c r="J9" s="52" t="s">
        <v>123</v>
      </c>
    </row>
    <row r="10" spans="2:10" x14ac:dyDescent="0.3">
      <c r="B10" s="64" t="s">
        <v>214</v>
      </c>
      <c r="D10" s="54" t="s">
        <v>48</v>
      </c>
      <c r="F10" s="57" t="s">
        <v>49</v>
      </c>
      <c r="H10" s="105" t="s">
        <v>202</v>
      </c>
      <c r="I10" s="100"/>
    </row>
    <row r="11" spans="2:10" x14ac:dyDescent="0.3">
      <c r="B11" s="64" t="s">
        <v>133</v>
      </c>
      <c r="D11" s="69" t="s">
        <v>50</v>
      </c>
      <c r="F11" s="59" t="s">
        <v>51</v>
      </c>
      <c r="H11" s="101" t="s">
        <v>34</v>
      </c>
      <c r="I11" s="100"/>
      <c r="J11" s="52" t="s">
        <v>120</v>
      </c>
    </row>
    <row r="12" spans="2:10" x14ac:dyDescent="0.3">
      <c r="B12" s="64" t="s">
        <v>136</v>
      </c>
      <c r="F12" s="57" t="s">
        <v>52</v>
      </c>
      <c r="H12" s="105" t="s">
        <v>203</v>
      </c>
      <c r="I12" s="101"/>
      <c r="J12" s="52" t="s">
        <v>121</v>
      </c>
    </row>
    <row r="13" spans="2:10" x14ac:dyDescent="0.3">
      <c r="B13" s="64" t="s">
        <v>132</v>
      </c>
      <c r="F13" s="59" t="s">
        <v>53</v>
      </c>
      <c r="H13" s="102" t="s">
        <v>134</v>
      </c>
      <c r="I13" s="101"/>
    </row>
    <row r="14" spans="2:10" x14ac:dyDescent="0.3">
      <c r="B14" s="64" t="s">
        <v>135</v>
      </c>
      <c r="D14" s="60"/>
      <c r="F14" s="57" t="s">
        <v>54</v>
      </c>
      <c r="H14" s="103" t="s">
        <v>137</v>
      </c>
      <c r="I14" s="102"/>
    </row>
    <row r="15" spans="2:10" x14ac:dyDescent="0.3">
      <c r="B15" s="64" t="s">
        <v>130</v>
      </c>
      <c r="D15" s="61"/>
      <c r="F15" s="59" t="s">
        <v>56</v>
      </c>
      <c r="H15" s="101" t="s">
        <v>138</v>
      </c>
      <c r="I15" s="101"/>
    </row>
    <row r="16" spans="2:10" x14ac:dyDescent="0.3">
      <c r="B16" s="64" t="s">
        <v>117</v>
      </c>
      <c r="D16" s="61"/>
      <c r="F16" s="57" t="s">
        <v>58</v>
      </c>
      <c r="H16" s="102" t="s">
        <v>200</v>
      </c>
      <c r="I16" s="103"/>
    </row>
    <row r="17" spans="2:9" x14ac:dyDescent="0.3">
      <c r="B17" s="64" t="s">
        <v>57</v>
      </c>
      <c r="D17" s="61"/>
      <c r="F17" s="59" t="s">
        <v>59</v>
      </c>
      <c r="H17" s="65" t="s">
        <v>61</v>
      </c>
      <c r="I17" s="101"/>
    </row>
    <row r="18" spans="2:9" x14ac:dyDescent="0.3">
      <c r="B18" s="64" t="s">
        <v>141</v>
      </c>
      <c r="D18" s="61"/>
      <c r="F18" s="57" t="s">
        <v>60</v>
      </c>
      <c r="H18" s="106" t="s">
        <v>140</v>
      </c>
      <c r="I18" s="103"/>
    </row>
    <row r="19" spans="2:9" x14ac:dyDescent="0.3">
      <c r="B19" s="64" t="s">
        <v>210</v>
      </c>
      <c r="D19" s="61"/>
      <c r="F19" s="59" t="s">
        <v>62</v>
      </c>
      <c r="H19" s="68" t="s">
        <v>195</v>
      </c>
      <c r="I19" s="104"/>
    </row>
    <row r="20" spans="2:9" x14ac:dyDescent="0.3">
      <c r="B20" s="64" t="s">
        <v>142</v>
      </c>
      <c r="D20" s="61"/>
      <c r="F20" s="57" t="s">
        <v>63</v>
      </c>
      <c r="H20" s="68" t="s">
        <v>108</v>
      </c>
      <c r="I20" s="102"/>
    </row>
    <row r="21" spans="2:9" x14ac:dyDescent="0.3">
      <c r="B21" s="64" t="s">
        <v>143</v>
      </c>
      <c r="D21" s="61"/>
      <c r="F21" s="59" t="s">
        <v>64</v>
      </c>
      <c r="H21" s="110" t="s">
        <v>74</v>
      </c>
      <c r="I21" s="100"/>
    </row>
    <row r="22" spans="2:9" ht="27.6" x14ac:dyDescent="0.3">
      <c r="B22" s="64" t="s">
        <v>139</v>
      </c>
      <c r="D22" s="61"/>
      <c r="F22" s="57" t="s">
        <v>66</v>
      </c>
      <c r="H22" s="116" t="s">
        <v>183</v>
      </c>
      <c r="I22" s="105"/>
    </row>
    <row r="23" spans="2:9" x14ac:dyDescent="0.3">
      <c r="B23" s="64" t="s">
        <v>213</v>
      </c>
      <c r="D23" s="61"/>
      <c r="F23" s="59" t="s">
        <v>68</v>
      </c>
      <c r="H23" s="108" t="s">
        <v>106</v>
      </c>
      <c r="I23" s="106"/>
    </row>
    <row r="24" spans="2:9" x14ac:dyDescent="0.3">
      <c r="B24" s="64" t="s">
        <v>118</v>
      </c>
      <c r="D24" s="61"/>
      <c r="F24" s="57" t="s">
        <v>69</v>
      </c>
      <c r="H24" s="68" t="s">
        <v>119</v>
      </c>
      <c r="I24" s="107"/>
    </row>
    <row r="25" spans="2:9" x14ac:dyDescent="0.3">
      <c r="B25" s="64" t="s">
        <v>144</v>
      </c>
      <c r="D25" s="61"/>
      <c r="F25" s="59" t="s">
        <v>70</v>
      </c>
      <c r="H25" s="110" t="s">
        <v>109</v>
      </c>
      <c r="I25" s="108"/>
    </row>
    <row r="26" spans="2:9" x14ac:dyDescent="0.3">
      <c r="B26" s="64" t="s">
        <v>145</v>
      </c>
      <c r="F26" s="57" t="s">
        <v>71</v>
      </c>
      <c r="H26" s="68" t="s">
        <v>113</v>
      </c>
    </row>
    <row r="27" spans="2:9" x14ac:dyDescent="0.3">
      <c r="B27" s="64" t="s">
        <v>146</v>
      </c>
      <c r="D27" s="61"/>
      <c r="F27" s="59" t="s">
        <v>72</v>
      </c>
      <c r="H27" s="107" t="s">
        <v>204</v>
      </c>
      <c r="I27" s="106"/>
    </row>
    <row r="28" spans="2:9" x14ac:dyDescent="0.3">
      <c r="B28" s="64" t="s">
        <v>148</v>
      </c>
      <c r="D28" s="61"/>
      <c r="F28" s="57" t="s">
        <v>73</v>
      </c>
      <c r="H28" s="110" t="s">
        <v>197</v>
      </c>
      <c r="I28" s="68"/>
    </row>
    <row r="29" spans="2:9" x14ac:dyDescent="0.3">
      <c r="B29" s="64" t="s">
        <v>194</v>
      </c>
      <c r="F29" s="59" t="s">
        <v>75</v>
      </c>
      <c r="H29" s="108" t="s">
        <v>42</v>
      </c>
      <c r="I29" s="109"/>
    </row>
    <row r="30" spans="2:9" x14ac:dyDescent="0.3">
      <c r="B30" s="64" t="s">
        <v>149</v>
      </c>
      <c r="F30" s="57" t="s">
        <v>76</v>
      </c>
      <c r="H30" s="67" t="s">
        <v>147</v>
      </c>
      <c r="I30" s="107"/>
    </row>
    <row r="31" spans="2:9" x14ac:dyDescent="0.3">
      <c r="B31" s="64" t="s">
        <v>150</v>
      </c>
      <c r="F31" s="59" t="s">
        <v>79</v>
      </c>
      <c r="H31" s="67" t="s">
        <v>182</v>
      </c>
    </row>
    <row r="32" spans="2:9" x14ac:dyDescent="0.3">
      <c r="B32" s="64" t="s">
        <v>78</v>
      </c>
      <c r="F32" s="57" t="s">
        <v>80</v>
      </c>
      <c r="H32" s="109" t="s">
        <v>184</v>
      </c>
      <c r="I32" s="108"/>
    </row>
    <row r="33" spans="2:9" x14ac:dyDescent="0.3">
      <c r="B33" s="64" t="s">
        <v>151</v>
      </c>
      <c r="F33" s="59" t="s">
        <v>81</v>
      </c>
      <c r="H33" s="117" t="s">
        <v>65</v>
      </c>
      <c r="I33" s="108"/>
    </row>
    <row r="34" spans="2:9" x14ac:dyDescent="0.3">
      <c r="B34" s="64" t="s">
        <v>83</v>
      </c>
      <c r="F34" s="57" t="s">
        <v>84</v>
      </c>
      <c r="H34" s="107" t="s">
        <v>205</v>
      </c>
      <c r="I34" s="67"/>
    </row>
    <row r="35" spans="2:9" x14ac:dyDescent="0.3">
      <c r="B35" s="64" t="s">
        <v>152</v>
      </c>
      <c r="F35" s="59" t="s">
        <v>85</v>
      </c>
      <c r="H35" s="112" t="s">
        <v>185</v>
      </c>
      <c r="I35" s="107"/>
    </row>
    <row r="36" spans="2:9" x14ac:dyDescent="0.3">
      <c r="B36" s="64" t="s">
        <v>212</v>
      </c>
      <c r="F36" s="57" t="s">
        <v>87</v>
      </c>
      <c r="H36" s="109" t="s">
        <v>186</v>
      </c>
      <c r="I36" s="100"/>
    </row>
    <row r="37" spans="2:9" x14ac:dyDescent="0.3">
      <c r="B37" s="64" t="s">
        <v>154</v>
      </c>
      <c r="F37" s="57" t="s">
        <v>88</v>
      </c>
      <c r="H37" s="110" t="s">
        <v>201</v>
      </c>
      <c r="I37" s="108"/>
    </row>
    <row r="38" spans="2:9" x14ac:dyDescent="0.3">
      <c r="B38" s="64" t="s">
        <v>155</v>
      </c>
      <c r="F38" s="57" t="s">
        <v>89</v>
      </c>
      <c r="H38" s="107" t="s">
        <v>206</v>
      </c>
      <c r="I38" s="107"/>
    </row>
    <row r="39" spans="2:9" ht="27.6" x14ac:dyDescent="0.3">
      <c r="B39" s="64" t="s">
        <v>157</v>
      </c>
      <c r="F39" s="57" t="s">
        <v>91</v>
      </c>
      <c r="H39" s="107" t="s">
        <v>187</v>
      </c>
      <c r="I39" s="109"/>
    </row>
    <row r="40" spans="2:9" x14ac:dyDescent="0.3">
      <c r="B40" s="64" t="s">
        <v>90</v>
      </c>
      <c r="F40" s="59" t="s">
        <v>211</v>
      </c>
      <c r="H40" s="67" t="s">
        <v>164</v>
      </c>
      <c r="I40" s="110"/>
    </row>
    <row r="41" spans="2:9" x14ac:dyDescent="0.3">
      <c r="B41" s="64" t="s">
        <v>193</v>
      </c>
      <c r="D41" s="63"/>
      <c r="H41" s="109" t="s">
        <v>188</v>
      </c>
      <c r="I41" s="110"/>
    </row>
    <row r="42" spans="2:9" x14ac:dyDescent="0.3">
      <c r="B42" s="64" t="s">
        <v>110</v>
      </c>
      <c r="H42" s="110" t="s">
        <v>153</v>
      </c>
      <c r="I42" s="107"/>
    </row>
    <row r="43" spans="2:9" x14ac:dyDescent="0.3">
      <c r="B43" s="64" t="s">
        <v>159</v>
      </c>
      <c r="H43" s="107" t="s">
        <v>189</v>
      </c>
      <c r="I43" s="109"/>
    </row>
    <row r="44" spans="2:9" x14ac:dyDescent="0.3">
      <c r="B44" s="119" t="s">
        <v>160</v>
      </c>
      <c r="H44" s="109" t="s">
        <v>190</v>
      </c>
    </row>
    <row r="45" spans="2:9" x14ac:dyDescent="0.3">
      <c r="H45" s="110" t="s">
        <v>198</v>
      </c>
      <c r="I45" s="108"/>
    </row>
    <row r="46" spans="2:9" x14ac:dyDescent="0.3">
      <c r="H46" s="68" t="s">
        <v>156</v>
      </c>
      <c r="I46" s="111"/>
    </row>
    <row r="47" spans="2:9" x14ac:dyDescent="0.3">
      <c r="B47" s="62"/>
      <c r="H47" s="110" t="s">
        <v>37</v>
      </c>
      <c r="I47" s="110"/>
    </row>
    <row r="48" spans="2:9" x14ac:dyDescent="0.3">
      <c r="H48" s="68" t="s">
        <v>158</v>
      </c>
      <c r="I48" s="110"/>
    </row>
    <row r="49" spans="8:9" x14ac:dyDescent="0.3">
      <c r="H49" s="107" t="s">
        <v>207</v>
      </c>
      <c r="I49" s="110"/>
    </row>
    <row r="50" spans="8:9" x14ac:dyDescent="0.3">
      <c r="H50" s="68" t="s">
        <v>55</v>
      </c>
      <c r="I50" s="110"/>
    </row>
    <row r="51" spans="8:9" x14ac:dyDescent="0.3">
      <c r="H51" s="67" t="s">
        <v>67</v>
      </c>
      <c r="I51" s="110"/>
    </row>
    <row r="52" spans="8:9" x14ac:dyDescent="0.3">
      <c r="H52" s="110" t="s">
        <v>111</v>
      </c>
    </row>
    <row r="53" spans="8:9" x14ac:dyDescent="0.3">
      <c r="H53" s="107" t="s">
        <v>208</v>
      </c>
      <c r="I53" s="110"/>
    </row>
    <row r="54" spans="8:9" x14ac:dyDescent="0.3">
      <c r="H54" s="67" t="s">
        <v>86</v>
      </c>
      <c r="I54" s="109"/>
    </row>
    <row r="55" spans="8:9" x14ac:dyDescent="0.3">
      <c r="H55" s="68" t="s">
        <v>199</v>
      </c>
      <c r="I55" s="109"/>
    </row>
    <row r="56" spans="8:9" x14ac:dyDescent="0.3">
      <c r="H56" s="107" t="s">
        <v>209</v>
      </c>
      <c r="I56" s="68"/>
    </row>
    <row r="57" spans="8:9" x14ac:dyDescent="0.3">
      <c r="H57" s="68" t="s">
        <v>192</v>
      </c>
      <c r="I57" s="110"/>
    </row>
    <row r="58" spans="8:9" x14ac:dyDescent="0.3">
      <c r="H58" s="68" t="s">
        <v>161</v>
      </c>
      <c r="I58" s="110"/>
    </row>
    <row r="59" spans="8:9" x14ac:dyDescent="0.3">
      <c r="H59" s="110" t="s">
        <v>162</v>
      </c>
      <c r="I59" s="113"/>
    </row>
    <row r="60" spans="8:9" x14ac:dyDescent="0.3">
      <c r="H60" s="113" t="s">
        <v>176</v>
      </c>
      <c r="I60" s="67"/>
    </row>
    <row r="61" spans="8:9" x14ac:dyDescent="0.3">
      <c r="H61" s="67" t="s">
        <v>122</v>
      </c>
      <c r="I61" s="108"/>
    </row>
    <row r="62" spans="8:9" x14ac:dyDescent="0.3">
      <c r="H62" s="67" t="s">
        <v>163</v>
      </c>
      <c r="I62" s="67"/>
    </row>
    <row r="63" spans="8:9" x14ac:dyDescent="0.3">
      <c r="H63" s="108" t="s">
        <v>92</v>
      </c>
    </row>
    <row r="64" spans="8:9" x14ac:dyDescent="0.3">
      <c r="H64" s="118" t="s">
        <v>217</v>
      </c>
    </row>
    <row r="65" spans="8:8" x14ac:dyDescent="0.3">
      <c r="H65" s="109"/>
    </row>
    <row r="66" spans="8:8" x14ac:dyDescent="0.3">
      <c r="H66" s="107"/>
    </row>
    <row r="67" spans="8:8" x14ac:dyDescent="0.3">
      <c r="H67" s="110"/>
    </row>
    <row r="68" spans="8:8" x14ac:dyDescent="0.3">
      <c r="H68" s="100"/>
    </row>
    <row r="69" spans="8:8" x14ac:dyDescent="0.3">
      <c r="H69" s="110"/>
    </row>
    <row r="70" spans="8:8" x14ac:dyDescent="0.3">
      <c r="H70" s="68"/>
    </row>
    <row r="71" spans="8:8" x14ac:dyDescent="0.3">
      <c r="H71" s="107"/>
    </row>
    <row r="72" spans="8:8" x14ac:dyDescent="0.3">
      <c r="H72" s="109"/>
    </row>
    <row r="73" spans="8:8" x14ac:dyDescent="0.3">
      <c r="H73" s="98"/>
    </row>
    <row r="74" spans="8:8" x14ac:dyDescent="0.3">
      <c r="H74" s="105"/>
    </row>
    <row r="75" spans="8:8" x14ac:dyDescent="0.3">
      <c r="H75" s="114"/>
    </row>
    <row r="76" spans="8:8" x14ac:dyDescent="0.3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CB4979-3D03-41A9-B345-AA2921FBC33F}"/>
</file>

<file path=customXml/itemProps2.xml><?xml version="1.0" encoding="utf-8"?>
<ds:datastoreItem xmlns:ds="http://schemas.openxmlformats.org/officeDocument/2006/customXml" ds:itemID="{B705FE34-D5A2-4BFE-9004-2E123A88A3A8}"/>
</file>

<file path=customXml/itemProps3.xml><?xml version="1.0" encoding="utf-8"?>
<ds:datastoreItem xmlns:ds="http://schemas.openxmlformats.org/officeDocument/2006/customXml" ds:itemID="{1CCB3A2F-2C86-4C8D-B7EA-4B3F9EF9489F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</vt:lpstr>
      <vt:lpstr>Jun</vt:lpstr>
      <vt:lpstr>Jul</vt:lpstr>
      <vt:lpstr>Aug</vt:lpstr>
      <vt:lpstr>Sep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Kayden Padayachee</cp:lastModifiedBy>
  <dcterms:created xsi:type="dcterms:W3CDTF">2020-04-02T09:04:10Z</dcterms:created>
  <dcterms:modified xsi:type="dcterms:W3CDTF">2026-05-31T17:04:34Z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