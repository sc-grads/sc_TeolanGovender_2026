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pada\OneDrive - ADvTECH Ltd\Desktop\"/>
    </mc:Choice>
  </mc:AlternateContent>
  <xr:revisionPtr revIDLastSave="0" documentId="8_{3AA8B296-F537-4C12-A6EB-80C64274943A}" xr6:coauthVersionLast="47" xr6:coauthVersionMax="47" xr10:uidLastSave="{00000000-0000-0000-0000-000000000000}"/>
  <bookViews>
    <workbookView xWindow="-108" yWindow="-108" windowWidth="23256" windowHeight="12456" activeTab="5" xr2:uid="{1C8F8026-B005-4B08-94D3-371A77F74D8F}"/>
  </bookViews>
  <sheets>
    <sheet name="Oct" sheetId="10" r:id="rId1"/>
    <sheet name="Nov" sheetId="1" r:id="rId2"/>
    <sheet name="Dec" sheetId="3" r:id="rId3"/>
    <sheet name="Jan" sheetId="4" r:id="rId4"/>
    <sheet name="Feb" sheetId="5" r:id="rId5"/>
    <sheet name="Mar" sheetId="6" r:id="rId6"/>
    <sheet name="Expense Claim" sheetId="8" r:id="rId7"/>
    <sheet name="Leave" sheetId="9" r:id="rId8"/>
    <sheet name="Ke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6" i="6" l="1"/>
  <c r="H45" i="6"/>
  <c r="H19" i="5"/>
  <c r="H18" i="5"/>
  <c r="F45" i="10"/>
  <c r="H10" i="5"/>
  <c r="H9" i="3"/>
  <c r="F40" i="1"/>
  <c r="H9" i="1"/>
  <c r="H11" i="1"/>
  <c r="F41" i="10"/>
  <c r="H39" i="4"/>
  <c r="H15" i="1"/>
  <c r="D14" i="9"/>
  <c r="F17" i="8"/>
  <c r="B6" i="8" s="1"/>
  <c r="F41" i="5"/>
  <c r="H9" i="10" l="1"/>
  <c r="F44" i="10" s="1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4"/>
  <c r="H31" i="3"/>
  <c r="F44" i="1"/>
  <c r="F46" i="10" l="1"/>
  <c r="B6" i="10"/>
  <c r="H12" i="4"/>
  <c r="F45" i="4"/>
  <c r="H10" i="4"/>
  <c r="F44" i="4" s="1"/>
  <c r="H47" i="6"/>
  <c r="H9" i="5"/>
  <c r="F41" i="4"/>
  <c r="H11" i="4"/>
  <c r="H32" i="3"/>
  <c r="H39" i="3"/>
  <c r="H9" i="6"/>
  <c r="F43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5" i="6"/>
  <c r="H26" i="6"/>
  <c r="H27" i="6"/>
  <c r="H28" i="6"/>
  <c r="H29" i="6"/>
  <c r="H30" i="6"/>
  <c r="H42" i="6"/>
  <c r="H43" i="6"/>
  <c r="H44" i="6"/>
  <c r="H11" i="5"/>
  <c r="H12" i="5"/>
  <c r="H13" i="5"/>
  <c r="H14" i="5"/>
  <c r="H15" i="5"/>
  <c r="H16" i="5"/>
  <c r="F42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F45" i="3" s="1"/>
  <c r="H25" i="3"/>
  <c r="H26" i="3"/>
  <c r="H27" i="3"/>
  <c r="H28" i="3"/>
  <c r="H29" i="3"/>
  <c r="H30" i="3"/>
  <c r="H33" i="3"/>
  <c r="H34" i="3"/>
  <c r="H35" i="3"/>
  <c r="H10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53" i="6" l="1"/>
  <c r="H10" i="6"/>
  <c r="F52" i="6" s="1"/>
  <c r="H11" i="6"/>
  <c r="F49" i="6"/>
  <c r="H12" i="6"/>
  <c r="H10" i="3"/>
  <c r="F44" i="3" s="1"/>
  <c r="H11" i="3"/>
  <c r="H12" i="3"/>
  <c r="H13" i="3"/>
  <c r="F38" i="5"/>
  <c r="F41" i="3"/>
  <c r="F46" i="4" l="1"/>
  <c r="F43" i="5"/>
  <c r="F54" i="6"/>
  <c r="B6" i="6"/>
  <c r="B6" i="5"/>
  <c r="B6" i="4"/>
  <c r="F46" i="3"/>
  <c r="B6" i="3"/>
  <c r="F45" i="1"/>
  <c r="B6" i="1"/>
</calcChain>
</file>

<file path=xl/sharedStrings.xml><?xml version="1.0" encoding="utf-8"?>
<sst xmlns="http://schemas.openxmlformats.org/spreadsheetml/2006/main" count="568" uniqueCount="233">
  <si>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</si>
  <si>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</si>
  <si>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</si>
  <si>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</si>
  <si>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</si>
  <si>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</si>
  <si>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</si>
  <si>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</si>
  <si>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</si>
  <si>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</si>
  <si>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</si>
  <si>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</si>
  <si>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</si>
  <si>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</si>
  <si>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</si>
  <si>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</si>
  <si>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</si>
  <si>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</si>
  <si>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</si>
  <si>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</si>
  <si>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</si>
  <si>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</si>
  <si>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</si>
  <si>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</si>
  <si>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</si>
  <si>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</si>
  <si>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</si>
  <si>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</si>
  <si>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</si>
  <si>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</si>
  <si>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</si>
  <si>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</si>
  <si>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</si>
  <si>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</si>
  <si>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</si>
  <si>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</si>
  <si>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</si>
  <si>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</si>
  <si>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</si>
  <si>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</si>
  <si>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</si>
  <si>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</si>
  <si>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</si>
  <si>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</si>
  <si>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</si>
  <si>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</si>
  <si>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</si>
  <si>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</si>
  <si>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</si>
  <si>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</si>
  <si>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</si>
  <si>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</si>
  <si>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</si>
  <si>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</si>
  <si>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</si>
  <si>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</si>
  <si>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</si>
  <si>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</si>
  <si>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</si>
  <si>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</si>
  <si>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</si>
  <si>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</si>
  <si>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</si>
  <si>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</si>
  <si>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</si>
  <si>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</si>
  <si>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</si>
  <si>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</si>
  <si>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</si>
  <si>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</si>
  <si>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</si>
  <si>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</si>
  <si>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</si>
  <si>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</si>
  <si>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</si>
  <si>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</si>
  <si>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</si>
  <si>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</si>
  <si>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</si>
  <si>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</si>
  <si>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</si>
  <si>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</si>
  <si>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</si>
  <si>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</si>
  <si>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</si>
  <si>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</si>
  <si>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</si>
  <si>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</si>
  <si>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</si>
  <si>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</si>
  <si>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</si>
  <si>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</si>
  <si>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</si>
  <si>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</si>
  <si>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</si>
  <si>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</si>
  <si>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</si>
  <si>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</si>
  <si>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</si>
  <si>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</si>
  <si>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</si>
  <si>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</si>
  <si>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</si>
  <si>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</si>
  <si>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</si>
  <si>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Sarah</t>
  </si>
  <si>
    <t>Human Rights Day</t>
  </si>
  <si>
    <t>Example</t>
  </si>
  <si>
    <t>Detailed Description of task(s) done</t>
  </si>
  <si>
    <t>Day of Reconciliation</t>
  </si>
  <si>
    <t>Christmas</t>
  </si>
  <si>
    <t>Boxing Day</t>
  </si>
  <si>
    <t>Engelina</t>
  </si>
  <si>
    <t>Hamerl</t>
  </si>
  <si>
    <t>SBV</t>
  </si>
  <si>
    <t>Shaylin</t>
  </si>
  <si>
    <t>Amanda</t>
  </si>
  <si>
    <t>Ian</t>
  </si>
  <si>
    <t>Public holiday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</si>
  <si>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</si>
  <si>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</si>
  <si>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</si>
  <si>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</si>
  <si>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</si>
  <si>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</si>
  <si>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</si>
  <si>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</si>
  <si>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</si>
  <si>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</si>
  <si>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</si>
  <si>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</si>
  <si>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</si>
  <si>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</si>
  <si>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</si>
  <si>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</si>
  <si>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</si>
  <si>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WiFi / Internet / Data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</si>
  <si>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</si>
  <si>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</si>
  <si>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</si>
  <si>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</si>
  <si>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</si>
  <si>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</si>
  <si>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</si>
  <si>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</si>
  <si>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</si>
  <si>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</si>
  <si>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</si>
  <si>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</si>
  <si>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</si>
  <si>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</si>
  <si>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</si>
  <si>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</si>
  <si>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</si>
  <si>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</si>
  <si>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</si>
  <si>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</si>
  <si>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</si>
  <si>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</si>
  <si>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</si>
  <si>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</si>
  <si>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</si>
  <si>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</si>
  <si>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</si>
  <si>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</si>
  <si>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</si>
  <si>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</si>
  <si>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</si>
  <si>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</si>
  <si>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</si>
  <si>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</si>
  <si>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</si>
  <si>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</si>
  <si>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</si>
  <si>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</si>
  <si>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</si>
  <si>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</si>
  <si>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</si>
  <si>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</si>
  <si>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</si>
  <si>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</si>
  <si>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</si>
  <si>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</si>
  <si>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</si>
  <si>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</si>
  <si>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</si>
  <si>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</si>
  <si>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</si>
  <si>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</si>
  <si>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</si>
  <si>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</si>
  <si>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</si>
  <si>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</si>
  <si>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</si>
  <si>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</si>
  <si>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</si>
  <si>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</si>
  <si>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</si>
  <si>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</si>
  <si>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</si>
  <si>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</si>
  <si>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</si>
  <si>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</si>
  <si>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</si>
  <si>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</si>
  <si>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</si>
  <si>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</si>
  <si>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</si>
  <si>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</si>
  <si>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</si>
  <si>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</si>
  <si>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</si>
  <si>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</si>
  <si>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</si>
  <si>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</si>
  <si>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</si>
  <si>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</si>
  <si>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</si>
  <si>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</si>
  <si>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</si>
  <si>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</si>
  <si>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</si>
  <si>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</si>
  <si>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</si>
  <si>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</si>
  <si>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</si>
  <si>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</si>
  <si>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</si>
  <si>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Kayden</t>
  </si>
  <si>
    <t>Attended Standup meeting.
Started courses given by Clement (Excel).
Attended midday Meeting.</t>
  </si>
  <si>
    <t>Continued Excel course
Attended Retrospective meeting.</t>
  </si>
  <si>
    <t>Attended Standup meeting.
Continued course.
Attended midday Meeting.</t>
  </si>
  <si>
    <t>Continued with Excel course,
Attended Retrospective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</si>
</sst>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8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7" xfId="0" applyFont="1" applyFill="1" applyBorder="1" applyAlignment="1">
      <alignment horizontal="left" wrapText="1" readingOrder="1"/>
    </xf>
    <xf numFmtId="0" fontId="17" fillId="0" borderId="37" xfId="0" applyFont="1" applyBorder="1" applyAlignment="1">
      <alignment horizontal="left"/>
    </xf>
    <xf numFmtId="0" fontId="17" fillId="0" borderId="37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7" fillId="0" borderId="27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9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7" xfId="0" applyFont="1" applyFill="1" applyBorder="1" applyAlignment="1">
      <alignment horizontal="left"/>
    </xf>
    <xf numFmtId="0" fontId="17" fillId="12" borderId="37" xfId="0" applyFont="1" applyFill="1" applyBorder="1" applyAlignment="1">
      <alignment horizontal="left" vertical="center" wrapText="1"/>
    </xf>
    <xf numFmtId="0" fontId="18" fillId="12" borderId="37" xfId="0" applyFont="1" applyFill="1" applyBorder="1" applyAlignment="1">
      <alignment vertical="center"/>
    </xf>
    <xf numFmtId="0" fontId="17" fillId="12" borderId="37" xfId="0" applyFont="1" applyFill="1" applyBorder="1"/>
    <xf numFmtId="0" fontId="17" fillId="12" borderId="45" xfId="0" applyFont="1" applyFill="1" applyBorder="1" applyAlignment="1">
      <alignment horizontal="left"/>
    </xf>
    <xf numFmtId="0" fontId="17" fillId="0" borderId="45" xfId="0" applyFont="1" applyBorder="1"/>
    <xf numFmtId="0" fontId="17" fillId="0" borderId="45" xfId="0" applyFont="1" applyBorder="1" applyAlignment="1">
      <alignment horizontal="left"/>
    </xf>
    <xf numFmtId="0" fontId="17" fillId="12" borderId="45" xfId="0" applyFont="1" applyFill="1" applyBorder="1"/>
    <xf numFmtId="0" fontId="17" fillId="0" borderId="45" xfId="0" applyFont="1" applyBorder="1" applyAlignment="1">
      <alignment horizontal="left" vertical="center" wrapText="1"/>
    </xf>
    <xf numFmtId="0" fontId="17" fillId="12" borderId="43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3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5" fillId="9" borderId="46" xfId="0" applyFont="1" applyFill="1" applyBorder="1"/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3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4" borderId="4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102" dataDxfId="101">
  <autoFilter ref="H2:H77" xr:uid="{2E876225-7964-4082-91F1-C6221C464408}"/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49"/>
  <sheetViews>
    <sheetView topLeftCell="A2" zoomScale="75" zoomScaleNormal="75" workbookViewId="0">
      <selection activeCell="I28" sqref="I28:J2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225</v>
      </c>
      <c r="H5" s="40"/>
    </row>
    <row r="6" spans="1:10" x14ac:dyDescent="0.2">
      <c r="A6" s="37" t="s">
        <v>92</v>
      </c>
      <c r="B6" s="73">
        <f>F44</f>
        <v>0.33333333333333331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45931</v>
      </c>
      <c r="B9" s="22" t="s">
        <v>19</v>
      </c>
      <c r="C9" s="27" t="s">
        <v>226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45932</v>
      </c>
      <c r="B10" s="22" t="s">
        <v>20</v>
      </c>
      <c r="C10" s="27"/>
      <c r="D10" s="27"/>
      <c r="E10" s="27"/>
      <c r="F10" s="27"/>
      <c r="G10" s="28"/>
      <c r="H10" s="29">
        <f t="shared" ref="H10:H39" si="1">J10-I10</f>
        <v>0</v>
      </c>
      <c r="I10" s="30"/>
      <c r="J10" s="30"/>
    </row>
    <row r="11" spans="1:10" x14ac:dyDescent="0.2">
      <c r="A11" s="22">
        <v>45933</v>
      </c>
      <c r="B11" s="22" t="s">
        <v>11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31">
        <v>45934</v>
      </c>
      <c r="B12" s="31" t="s">
        <v>14</v>
      </c>
      <c r="C12" s="32"/>
      <c r="D12" s="32"/>
      <c r="E12" s="32"/>
      <c r="F12" s="32"/>
      <c r="G12" s="33"/>
      <c r="H12" s="34">
        <f t="shared" si="1"/>
        <v>0</v>
      </c>
      <c r="I12" s="35"/>
      <c r="J12" s="35"/>
    </row>
    <row r="13" spans="1:10" x14ac:dyDescent="0.2">
      <c r="A13" s="31">
        <v>45935</v>
      </c>
      <c r="B13" s="31" t="s">
        <v>16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22">
        <v>45936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45937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45938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45939</v>
      </c>
      <c r="B17" s="22" t="s">
        <v>20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45940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45941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45942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45943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45944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45945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45946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45947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45948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45949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45950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45951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45952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45953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45954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45955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45956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45957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45958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45959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45960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x14ac:dyDescent="0.2">
      <c r="A39" s="22">
        <v>45961</v>
      </c>
      <c r="B39" s="22" t="s">
        <v>11</v>
      </c>
      <c r="C39" s="27"/>
      <c r="D39" s="27"/>
      <c r="E39" s="27"/>
      <c r="F39" s="27"/>
      <c r="G39" s="28"/>
      <c r="H39" s="29">
        <f t="shared" si="1"/>
        <v>0</v>
      </c>
      <c r="I39" s="30"/>
      <c r="J39" s="30"/>
    </row>
    <row r="40" spans="1:10" ht="13.95" customHeight="1" thickBot="1" x14ac:dyDescent="0.25">
      <c r="A40" s="46"/>
      <c r="B40" s="46"/>
      <c r="G40" s="40"/>
      <c r="H40" s="64"/>
      <c r="I40" s="65"/>
      <c r="J40" s="65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49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41:E41 D43:E45 E48">
    <cfRule type="containsText" dxfId="86" priority="3" operator="containsText" text="Religious Leave">
      <formula>NOT(ISERROR(SEARCH("Religious Leave",D41)))</formula>
    </cfRule>
    <cfRule type="containsText" dxfId="85" priority="4" operator="containsText" text="Birthday Leave">
      <formula>NOT(ISERROR(SEARCH("Birthday Leave",D41)))</formula>
    </cfRule>
    <cfRule type="containsText" dxfId="84" priority="5" operator="containsText" text="Study Leave">
      <formula>NOT(ISERROR(SEARCH("Study Leave",D41)))</formula>
    </cfRule>
    <cfRule type="containsText" dxfId="83" priority="6" operator="containsText" text="Family Responsibility Leave">
      <formula>NOT(ISERROR(SEARCH("Family Responsibility Leave",D41)))</formula>
    </cfRule>
    <cfRule type="containsText" dxfId="82" priority="7" operator="containsText" text="Sick Leave">
      <formula>NOT(ISERROR(SEARCH("Sick Leave",D41)))</formula>
    </cfRule>
    <cfRule type="containsText" dxfId="81" priority="8" operator="containsText" text="Annual Leave">
      <formula>NOT(ISERROR(SEARCH("Annual Leave",D41)))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0" xr:uid="{68437EC4-DD9C-463B-9F8D-7339DE1FDE4C}">
      <formula1>0</formula1>
      <formula2>0.999988425925926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F3BEC1-F54D-4034-9200-E177F5F22F68}">
          <x14:formula1>
            <xm:f>Key!$J$3:$J$4</xm:f>
          </x14:formula1>
          <xm:sqref>F9:F40</xm:sqref>
        </x14:dataValidation>
        <x14:dataValidation type="list" allowBlank="1" showInputMessage="1" showErrorMessage="1" xr:uid="{2056345A-D817-415C-BFFF-52AAC88A616B}">
          <x14:formula1>
            <xm:f>Key!$B$2:$B$43</xm:f>
          </x14:formula1>
          <xm:sqref>C9:C40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E9:E40</xm:sqref>
        </x14:dataValidation>
        <x14:dataValidation type="list" allowBlank="1" showInputMessage="1" showErrorMessage="1" xr:uid="{C171C48C-979E-452A-9BA2-E995ACE2BE06}">
          <x14:formula1>
            <xm:f>Key!$H$3:$H$81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8"/>
  <sheetViews>
    <sheetView zoomScale="75" zoomScaleNormal="75" workbookViewId="0">
      <selection activeCell="B5" sqref="B5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45962</v>
      </c>
      <c r="B9" s="31" t="s">
        <v>14</v>
      </c>
      <c r="C9" s="32"/>
      <c r="D9" s="32"/>
      <c r="E9" s="32"/>
      <c r="F9" s="32"/>
      <c r="G9" s="33"/>
      <c r="H9" s="34">
        <f t="shared" ref="H9:H38" si="0">J9-I9</f>
        <v>0</v>
      </c>
      <c r="I9" s="35"/>
      <c r="J9" s="35"/>
    </row>
    <row r="10" spans="1:10" x14ac:dyDescent="0.2">
      <c r="A10" s="31">
        <v>45963</v>
      </c>
      <c r="B10" s="31" t="s">
        <v>16</v>
      </c>
      <c r="C10" s="32"/>
      <c r="D10" s="32"/>
      <c r="E10" s="32"/>
      <c r="F10" s="32"/>
      <c r="G10" s="33"/>
      <c r="H10" s="34">
        <f t="shared" si="0"/>
        <v>0</v>
      </c>
      <c r="I10" s="35"/>
      <c r="J10" s="35"/>
    </row>
    <row r="11" spans="1:10" x14ac:dyDescent="0.2">
      <c r="A11" s="22">
        <v>45964</v>
      </c>
      <c r="B11" s="22" t="s">
        <v>17</v>
      </c>
      <c r="C11" s="27" t="s">
        <v>132</v>
      </c>
      <c r="D11" s="27" t="s">
        <v>107</v>
      </c>
      <c r="E11" s="27" t="s">
        <v>31</v>
      </c>
      <c r="F11" s="27" t="s">
        <v>13</v>
      </c>
      <c r="G11" s="28" t="s">
        <v>108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45965</v>
      </c>
      <c r="B12" s="22" t="s">
        <v>18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45966</v>
      </c>
      <c r="B13" s="22" t="s">
        <v>19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45967</v>
      </c>
      <c r="B14" s="22" t="s">
        <v>20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45968</v>
      </c>
      <c r="B15" s="22" t="s">
        <v>11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31">
        <v>45969</v>
      </c>
      <c r="B16" s="31" t="s">
        <v>14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31">
        <v>45970</v>
      </c>
      <c r="B17" s="31" t="s">
        <v>16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22">
        <v>45971</v>
      </c>
      <c r="B18" s="22" t="s">
        <v>17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45972</v>
      </c>
      <c r="B19" s="22" t="s">
        <v>18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45973</v>
      </c>
      <c r="B20" s="22" t="s">
        <v>19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45974</v>
      </c>
      <c r="B21" s="22" t="s">
        <v>20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45975</v>
      </c>
      <c r="B22" s="22" t="s">
        <v>11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31">
        <v>45976</v>
      </c>
      <c r="B23" s="31" t="s">
        <v>14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31">
        <v>45977</v>
      </c>
      <c r="B24" s="31" t="s">
        <v>16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22">
        <v>45978</v>
      </c>
      <c r="B25" s="22" t="s">
        <v>17</v>
      </c>
      <c r="C25" s="27"/>
      <c r="D25" s="27"/>
      <c r="E25" s="27"/>
      <c r="F25" s="27"/>
      <c r="G25" s="28"/>
      <c r="H25" s="29">
        <f t="shared" si="0"/>
        <v>0</v>
      </c>
      <c r="I25" s="30"/>
      <c r="J25" s="30"/>
    </row>
    <row r="26" spans="1:10" x14ac:dyDescent="0.2">
      <c r="A26" s="22">
        <v>45979</v>
      </c>
      <c r="B26" s="22" t="s">
        <v>18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45980</v>
      </c>
      <c r="B27" s="22" t="s">
        <v>19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45981</v>
      </c>
      <c r="B28" s="22" t="s">
        <v>20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45982</v>
      </c>
      <c r="B29" s="22" t="s">
        <v>11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31">
        <v>45983</v>
      </c>
      <c r="B30" s="31" t="s">
        <v>14</v>
      </c>
      <c r="C30" s="32"/>
      <c r="D30" s="32"/>
      <c r="E30" s="32"/>
      <c r="F30" s="32"/>
      <c r="G30" s="33"/>
      <c r="H30" s="34">
        <f t="shared" si="0"/>
        <v>0</v>
      </c>
      <c r="I30" s="35"/>
      <c r="J30" s="35"/>
    </row>
    <row r="31" spans="1:10" x14ac:dyDescent="0.2">
      <c r="A31" s="31">
        <v>45984</v>
      </c>
      <c r="B31" s="31" t="s">
        <v>16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22">
        <v>45985</v>
      </c>
      <c r="B32" s="22" t="s">
        <v>17</v>
      </c>
      <c r="C32" s="27"/>
      <c r="D32" s="27"/>
      <c r="E32" s="27"/>
      <c r="F32" s="27"/>
      <c r="G32" s="28"/>
      <c r="H32" s="29">
        <f t="shared" si="0"/>
        <v>0</v>
      </c>
      <c r="I32" s="30"/>
      <c r="J32" s="30"/>
    </row>
    <row r="33" spans="1:10" x14ac:dyDescent="0.2">
      <c r="A33" s="22">
        <v>45986</v>
      </c>
      <c r="B33" s="22" t="s">
        <v>18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45987</v>
      </c>
      <c r="B34" s="22" t="s">
        <v>19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45988</v>
      </c>
      <c r="B35" s="22" t="s">
        <v>20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45989</v>
      </c>
      <c r="B36" s="22" t="s">
        <v>11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31">
        <v>45990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45991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thickBot="1" x14ac:dyDescent="0.3">
      <c r="A39" s="46"/>
      <c r="B39" s="45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f>F41*8</f>
        <v>160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20</v>
      </c>
      <c r="H41" s="40"/>
    </row>
    <row r="42" spans="1:10" ht="13.95" customHeight="1" thickBot="1" x14ac:dyDescent="0.3">
      <c r="A42" s="116" t="s">
        <v>23</v>
      </c>
      <c r="B42" s="116"/>
      <c r="C42" s="116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7" t="s">
        <v>25</v>
      </c>
      <c r="B44" s="117"/>
      <c r="C44" s="117"/>
      <c r="D44" s="16"/>
      <c r="E44" s="17" t="s">
        <v>26</v>
      </c>
      <c r="F44" s="18">
        <f>SUMIF(F9:F38,"Non-Billable",H9:H38)</f>
        <v>0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0.33333333333333331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8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0 D42:E44 E47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F9:F38</xm:sqref>
        </x14:dataValidation>
        <x14:dataValidation type="list" allowBlank="1" showInputMessage="1" showErrorMessage="1" xr:uid="{6D37C029-6824-4E5B-BA42-C38962DEC5F9}">
          <x14:formula1>
            <xm:f>Key!$B$2:$B$48</xm:f>
          </x14:formula1>
          <xm:sqref>C9:C38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Key!$H$3:$H$85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9"/>
  <sheetViews>
    <sheetView zoomScale="75" zoomScaleNormal="75" workbookViewId="0">
      <selection activeCell="F9" sqref="F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45992</v>
      </c>
      <c r="B9" s="22" t="s">
        <v>17</v>
      </c>
      <c r="C9" s="27" t="s">
        <v>132</v>
      </c>
      <c r="D9" s="27" t="s">
        <v>107</v>
      </c>
      <c r="E9" s="27" t="s">
        <v>31</v>
      </c>
      <c r="F9" s="27" t="s">
        <v>13</v>
      </c>
      <c r="G9" s="28" t="s">
        <v>108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45993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45994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45995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45996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45997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45998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45999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46000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46001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46002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46003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46004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46005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46006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46007</v>
      </c>
      <c r="B24" s="47" t="s">
        <v>18</v>
      </c>
      <c r="C24" s="48" t="s">
        <v>132</v>
      </c>
      <c r="D24" s="48"/>
      <c r="E24" s="48" t="s">
        <v>89</v>
      </c>
      <c r="F24" s="48" t="s">
        <v>15</v>
      </c>
      <c r="G24" s="49" t="s">
        <v>109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46008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46009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46010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46011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46012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46013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46014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46015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47">
        <v>46016</v>
      </c>
      <c r="B33" s="47" t="s">
        <v>20</v>
      </c>
      <c r="C33" s="48" t="s">
        <v>132</v>
      </c>
      <c r="D33" s="48"/>
      <c r="E33" s="48" t="s">
        <v>89</v>
      </c>
      <c r="F33" s="48" t="s">
        <v>15</v>
      </c>
      <c r="G33" s="49" t="s">
        <v>110</v>
      </c>
      <c r="H33" s="50">
        <f t="shared" si="1"/>
        <v>0.33333333333333331</v>
      </c>
      <c r="I33" s="51">
        <v>0.33333333333333331</v>
      </c>
      <c r="J33" s="51">
        <v>0.66666666666666663</v>
      </c>
    </row>
    <row r="34" spans="1:10" x14ac:dyDescent="0.2">
      <c r="A34" s="47">
        <v>46017</v>
      </c>
      <c r="B34" s="47" t="s">
        <v>11</v>
      </c>
      <c r="C34" s="48" t="s">
        <v>132</v>
      </c>
      <c r="D34" s="48"/>
      <c r="E34" s="48" t="s">
        <v>89</v>
      </c>
      <c r="F34" s="48" t="s">
        <v>15</v>
      </c>
      <c r="G34" s="49" t="s">
        <v>111</v>
      </c>
      <c r="H34" s="50">
        <f t="shared" si="1"/>
        <v>0.33333333333333331</v>
      </c>
      <c r="I34" s="51">
        <v>0.33333333333333331</v>
      </c>
      <c r="J34" s="51">
        <v>0.66666666666666663</v>
      </c>
    </row>
    <row r="35" spans="1:10" x14ac:dyDescent="0.2">
      <c r="A35" s="31">
        <v>46018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46019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46020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x14ac:dyDescent="0.2">
      <c r="A38" s="22">
        <v>46021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25">
      <c r="A39" s="22">
        <v>46022</v>
      </c>
      <c r="B39" s="22" t="s">
        <v>19</v>
      </c>
      <c r="C39" s="27"/>
      <c r="D39" s="27"/>
      <c r="E39" s="27"/>
      <c r="F39" s="27"/>
      <c r="G39" s="28"/>
      <c r="H39" s="29">
        <f t="shared" ref="H39" si="4">J39-I39</f>
        <v>0</v>
      </c>
      <c r="I39" s="30"/>
      <c r="J39" s="30"/>
    </row>
    <row r="40" spans="1:10" ht="13.95" customHeight="1" thickBot="1" x14ac:dyDescent="0.3">
      <c r="A40" s="45"/>
      <c r="B40" s="45"/>
      <c r="C40" s="45"/>
      <c r="D40" s="45"/>
      <c r="E40" s="1"/>
      <c r="F40" s="1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1.3333333333333333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40:E41 D43:E45 E48">
    <cfRule type="containsText" dxfId="54" priority="1" operator="containsText" text="Religious Leave">
      <formula>NOT(ISERROR(SEARCH("Religious Leave",D40)))</formula>
    </cfRule>
    <cfRule type="containsText" dxfId="53" priority="2" operator="containsText" text="Birthday Leave">
      <formula>NOT(ISERROR(SEARCH("Birthday Leave",D40)))</formula>
    </cfRule>
    <cfRule type="containsText" dxfId="52" priority="3" operator="containsText" text="Study Leave">
      <formula>NOT(ISERROR(SEARCH("Study Leave",D40)))</formula>
    </cfRule>
    <cfRule type="containsText" dxfId="51" priority="4" operator="containsText" text="Family Responsibility Leave">
      <formula>NOT(ISERROR(SEARCH("Family Responsibility Leave",D40)))</formula>
    </cfRule>
    <cfRule type="containsText" dxfId="50" priority="5" operator="containsText" text="Sick Leave">
      <formula>NOT(ISERROR(SEARCH("Sick Leave",D40)))</formula>
    </cfRule>
    <cfRule type="containsText" dxfId="49" priority="6" operator="containsText" text="Annual Leave">
      <formula>NOT(ISERROR(SEARCH("Annual Leave",D40)))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05EFAEA-09F9-426C-8EB4-C1D3371FF589}">
          <x14:formula1>
            <xm:f>Key!$J$3:$J$4</xm:f>
          </x14:formula1>
          <xm:sqref>F9:F39</xm:sqref>
        </x14:dataValidation>
        <x14:dataValidation type="list" allowBlank="1" showInputMessage="1" showErrorMessage="1" xr:uid="{F1A338DF-EA25-4B08-9176-04DE4DDAE78D}">
          <x14:formula1>
            <xm:f>Key!$B$2:$B$50</xm:f>
          </x14:formula1>
          <xm:sqref>C9:C39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E9:E39</xm:sqref>
        </x14:dataValidation>
        <x14:dataValidation type="list" allowBlank="1" showInputMessage="1" showErrorMessage="1" xr:uid="{522C5510-2B16-443A-8CBA-93200EDDFB81}">
          <x14:formula1>
            <xm:f>Key!$H$3:$H$81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75" zoomScaleNormal="75" workbookViewId="0">
      <selection activeCell="G18" sqref="G18:G1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46023</v>
      </c>
      <c r="B9" s="47" t="s">
        <v>20</v>
      </c>
      <c r="C9" s="48" t="s">
        <v>132</v>
      </c>
      <c r="D9" s="48" t="s">
        <v>107</v>
      </c>
      <c r="E9" s="48" t="s">
        <v>89</v>
      </c>
      <c r="F9" s="48" t="s">
        <v>15</v>
      </c>
      <c r="G9" s="49" t="s">
        <v>118</v>
      </c>
      <c r="H9" s="50">
        <f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22">
        <v>46024</v>
      </c>
      <c r="B10" s="22" t="s">
        <v>11</v>
      </c>
      <c r="C10" s="27" t="s">
        <v>132</v>
      </c>
      <c r="D10" s="27" t="s">
        <v>107</v>
      </c>
      <c r="E10" s="27" t="s">
        <v>31</v>
      </c>
      <c r="F10" s="27" t="s">
        <v>13</v>
      </c>
      <c r="G10" s="28" t="s">
        <v>108</v>
      </c>
      <c r="H10" s="29">
        <f>J10-I10</f>
        <v>0.33333333333333331</v>
      </c>
      <c r="I10" s="30">
        <v>0.33333333333333331</v>
      </c>
      <c r="J10" s="30">
        <v>0.66666666666666663</v>
      </c>
    </row>
    <row r="11" spans="1:10" x14ac:dyDescent="0.2">
      <c r="A11" s="31">
        <v>46025</v>
      </c>
      <c r="B11" s="31" t="s">
        <v>14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31">
        <v>46026</v>
      </c>
      <c r="B12" s="31" t="s">
        <v>16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22">
        <v>46027</v>
      </c>
      <c r="B13" s="22" t="s">
        <v>17</v>
      </c>
      <c r="C13" s="27"/>
      <c r="D13" s="27"/>
      <c r="E13" s="27"/>
      <c r="F13" s="27"/>
      <c r="G13" s="28"/>
      <c r="H13" s="29">
        <f t="shared" ref="H13:H38" si="1">J13-I13</f>
        <v>0</v>
      </c>
      <c r="I13" s="30"/>
      <c r="J13" s="30"/>
    </row>
    <row r="14" spans="1:10" x14ac:dyDescent="0.2">
      <c r="A14" s="22">
        <v>46028</v>
      </c>
      <c r="B14" s="22" t="s">
        <v>18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46029</v>
      </c>
      <c r="B15" s="22" t="s">
        <v>19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46030</v>
      </c>
      <c r="B16" s="22" t="s">
        <v>20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46031</v>
      </c>
      <c r="B17" s="22" t="s">
        <v>11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31">
        <v>46032</v>
      </c>
      <c r="B18" s="31" t="s">
        <v>14</v>
      </c>
      <c r="C18" s="32"/>
      <c r="D18" s="32"/>
      <c r="E18" s="32"/>
      <c r="F18" s="32"/>
      <c r="G18" s="33"/>
      <c r="H18" s="34">
        <f t="shared" si="1"/>
        <v>0</v>
      </c>
      <c r="I18" s="35"/>
      <c r="J18" s="35"/>
    </row>
    <row r="19" spans="1:10" x14ac:dyDescent="0.2">
      <c r="A19" s="31">
        <v>46033</v>
      </c>
      <c r="B19" s="31" t="s">
        <v>16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22">
        <v>46034</v>
      </c>
      <c r="B20" s="22" t="s">
        <v>17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46035</v>
      </c>
      <c r="B21" s="22" t="s">
        <v>18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46036</v>
      </c>
      <c r="B22" s="22" t="s">
        <v>19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46037</v>
      </c>
      <c r="B23" s="22" t="s">
        <v>20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46038</v>
      </c>
      <c r="B24" s="22" t="s">
        <v>11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31">
        <v>46039</v>
      </c>
      <c r="B25" s="31" t="s">
        <v>14</v>
      </c>
      <c r="C25" s="32"/>
      <c r="D25" s="32"/>
      <c r="E25" s="32"/>
      <c r="F25" s="32"/>
      <c r="G25" s="33"/>
      <c r="H25" s="34">
        <f t="shared" si="1"/>
        <v>0</v>
      </c>
      <c r="I25" s="35"/>
      <c r="J25" s="35"/>
    </row>
    <row r="26" spans="1:10" x14ac:dyDescent="0.2">
      <c r="A26" s="31">
        <v>46040</v>
      </c>
      <c r="B26" s="31" t="s">
        <v>16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22">
        <v>46041</v>
      </c>
      <c r="B27" s="22" t="s">
        <v>17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46042</v>
      </c>
      <c r="B28" s="22" t="s">
        <v>18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46043</v>
      </c>
      <c r="B29" s="22" t="s">
        <v>19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46044</v>
      </c>
      <c r="B30" s="22" t="s">
        <v>20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46045</v>
      </c>
      <c r="B31" s="22" t="s">
        <v>11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31">
        <v>46046</v>
      </c>
      <c r="B32" s="31" t="s">
        <v>14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x14ac:dyDescent="0.2">
      <c r="A33" s="31">
        <v>46047</v>
      </c>
      <c r="B33" s="31" t="s">
        <v>16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22">
        <v>46048</v>
      </c>
      <c r="B34" s="22" t="s">
        <v>17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46049</v>
      </c>
      <c r="B35" s="22" t="s">
        <v>18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46050</v>
      </c>
      <c r="B36" s="22" t="s">
        <v>19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46051</v>
      </c>
      <c r="B37" s="22" t="s">
        <v>20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46052</v>
      </c>
      <c r="B38" s="22" t="s">
        <v>11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31">
        <v>46053</v>
      </c>
      <c r="B39" s="31" t="s">
        <v>14</v>
      </c>
      <c r="C39" s="32"/>
      <c r="D39" s="32"/>
      <c r="E39" s="32"/>
      <c r="F39" s="32"/>
      <c r="G39" s="33"/>
      <c r="H39" s="34">
        <f>J39-I39</f>
        <v>0</v>
      </c>
      <c r="I39" s="35"/>
      <c r="J39" s="35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f>F42*8</f>
        <v>168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21</v>
      </c>
      <c r="H42" s="40"/>
    </row>
    <row r="43" spans="1:10" ht="13.95" customHeight="1" thickBot="1" x14ac:dyDescent="0.3">
      <c r="A43" s="116" t="s">
        <v>23</v>
      </c>
      <c r="B43" s="116"/>
      <c r="C43" s="116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7" t="s">
        <v>25</v>
      </c>
      <c r="B45" s="117"/>
      <c r="C45" s="117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9:J9 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10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5C5F83BA-9649-414D-9B5C-5ED3D81B12A6}">
          <x14:formula1>
            <xm:f>Key!$B$2:$B$55</xm:f>
          </x14:formula1>
          <xm:sqref>C9 C11:C39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E9 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E10</xm:sqref>
        </x14:dataValidation>
        <x14:dataValidation type="list" allowBlank="1" showInputMessage="1" showErrorMessage="1" xr:uid="{50ADD4F9-3582-48D4-9C7B-FE16B0BB7F7D}">
          <x14:formula1>
            <xm:f>Key!$B$2:$B$50</xm:f>
          </x14:formula1>
          <xm:sqref>C10</xm:sqref>
        </x14:dataValidation>
        <x14:dataValidation type="list" allowBlank="1" showInputMessage="1" showErrorMessage="1" xr:uid="{59DFADC5-E3B8-482B-925E-D0C90DB0047C}">
          <x14:formula1>
            <xm:f>Key!$H$3:$H$87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6"/>
  <sheetViews>
    <sheetView topLeftCell="A9" zoomScale="75" zoomScaleNormal="75" workbookViewId="0">
      <selection activeCell="B17" sqref="B1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107</v>
      </c>
      <c r="C5" s="37"/>
      <c r="H5" s="40"/>
    </row>
    <row r="6" spans="1:10" x14ac:dyDescent="0.2">
      <c r="A6" s="37" t="s">
        <v>92</v>
      </c>
      <c r="B6" s="73">
        <f>F41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46054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46055</v>
      </c>
      <c r="B10" s="22" t="s">
        <v>17</v>
      </c>
      <c r="C10" s="27" t="s">
        <v>132</v>
      </c>
      <c r="D10" s="27"/>
      <c r="E10" s="27"/>
      <c r="F10" s="27" t="s">
        <v>15</v>
      </c>
      <c r="G10" s="28"/>
      <c r="H10" s="29">
        <f t="shared" ref="H10" si="0">J10-I10</f>
        <v>0</v>
      </c>
      <c r="I10" s="30">
        <v>0</v>
      </c>
      <c r="J10" s="30">
        <v>0</v>
      </c>
    </row>
    <row r="11" spans="1:10" x14ac:dyDescent="0.2">
      <c r="A11" s="22">
        <v>46056</v>
      </c>
      <c r="B11" s="22" t="s">
        <v>18</v>
      </c>
      <c r="C11" s="27"/>
      <c r="D11" s="27"/>
      <c r="E11" s="27"/>
      <c r="F11" s="27"/>
      <c r="G11" s="28"/>
      <c r="H11" s="29">
        <f t="shared" ref="H11:H36" si="1">J11-I11</f>
        <v>0</v>
      </c>
      <c r="I11" s="30"/>
      <c r="J11" s="30"/>
    </row>
    <row r="12" spans="1:10" x14ac:dyDescent="0.2">
      <c r="A12" s="22">
        <v>46057</v>
      </c>
      <c r="B12" s="22" t="s">
        <v>19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46058</v>
      </c>
      <c r="B13" s="22" t="s">
        <v>20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22">
        <v>46059</v>
      </c>
      <c r="B14" s="22" t="s">
        <v>11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31">
        <v>46060</v>
      </c>
      <c r="B15" s="31" t="s">
        <v>14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31">
        <v>46061</v>
      </c>
      <c r="B16" s="31" t="s">
        <v>16</v>
      </c>
      <c r="C16" s="32"/>
      <c r="D16" s="32"/>
      <c r="E16" s="32"/>
      <c r="F16" s="32"/>
      <c r="G16" s="33"/>
      <c r="H16" s="34">
        <f t="shared" si="1"/>
        <v>0</v>
      </c>
      <c r="I16" s="35"/>
      <c r="J16" s="35"/>
    </row>
    <row r="17" spans="1:10" x14ac:dyDescent="0.2">
      <c r="A17" s="22">
        <v>46062</v>
      </c>
      <c r="B17" s="22" t="s">
        <v>17</v>
      </c>
      <c r="C17" s="27"/>
      <c r="D17" s="27"/>
      <c r="E17" s="27"/>
      <c r="F17" s="27"/>
      <c r="G17" s="28"/>
      <c r="H17" s="29"/>
      <c r="I17" s="30"/>
      <c r="J17" s="30"/>
    </row>
    <row r="18" spans="1:10" x14ac:dyDescent="0.2">
      <c r="A18" s="22">
        <v>46063</v>
      </c>
      <c r="B18" s="22" t="s">
        <v>18</v>
      </c>
      <c r="C18" s="27"/>
      <c r="D18" s="27"/>
      <c r="E18" s="27"/>
      <c r="F18" s="27"/>
      <c r="G18" s="28"/>
      <c r="H18" s="29">
        <f t="shared" ref="H18:H19" si="2">J18-I18</f>
        <v>0</v>
      </c>
      <c r="I18" s="30"/>
      <c r="J18" s="30"/>
    </row>
    <row r="19" spans="1:10" x14ac:dyDescent="0.2">
      <c r="A19" s="22">
        <v>46064</v>
      </c>
      <c r="B19" s="22" t="s">
        <v>19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46065</v>
      </c>
      <c r="B20" s="22" t="s">
        <v>20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22">
        <v>46066</v>
      </c>
      <c r="B21" s="22" t="s">
        <v>11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31">
        <v>46067</v>
      </c>
      <c r="B22" s="31" t="s">
        <v>14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31">
        <v>46068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22">
        <v>46069</v>
      </c>
      <c r="B24" s="22" t="s">
        <v>17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46070</v>
      </c>
      <c r="B25" s="22" t="s">
        <v>18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46071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46072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46073</v>
      </c>
      <c r="B28" s="22" t="s">
        <v>11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46074</v>
      </c>
      <c r="B29" s="31" t="s">
        <v>14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31">
        <v>46075</v>
      </c>
      <c r="B30" s="31" t="s">
        <v>16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>
        <v>46076</v>
      </c>
      <c r="B31" s="22" t="s">
        <v>17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46077</v>
      </c>
      <c r="B32" s="22" t="s">
        <v>18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22">
        <v>46078</v>
      </c>
      <c r="B33" s="22" t="s">
        <v>19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46079</v>
      </c>
      <c r="B34" s="22" t="s">
        <v>20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22">
        <v>46080</v>
      </c>
      <c r="B35" s="22" t="s">
        <v>11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ht="13.95" customHeight="1" x14ac:dyDescent="0.2">
      <c r="A36" s="31">
        <v>46081</v>
      </c>
      <c r="B36" s="31" t="s">
        <v>14</v>
      </c>
      <c r="C36" s="32"/>
      <c r="D36" s="32"/>
      <c r="E36" s="32"/>
      <c r="F36" s="32"/>
      <c r="G36" s="33"/>
      <c r="H36" s="34">
        <f t="shared" si="1"/>
        <v>0</v>
      </c>
      <c r="I36" s="35"/>
      <c r="J36" s="35"/>
    </row>
    <row r="37" spans="1:10" ht="13.95" customHeight="1" thickBot="1" x14ac:dyDescent="0.3">
      <c r="A37" s="46"/>
      <c r="B37" s="45"/>
      <c r="C37" s="45"/>
      <c r="D37" s="45"/>
      <c r="E37" s="45"/>
      <c r="F37" s="45"/>
      <c r="G37" s="45"/>
      <c r="H37" s="36"/>
      <c r="I37" s="37"/>
    </row>
    <row r="38" spans="1:10" ht="13.95" customHeight="1" x14ac:dyDescent="0.25">
      <c r="A38" s="4"/>
      <c r="B38" s="4"/>
      <c r="C38" s="5"/>
      <c r="D38" s="6"/>
      <c r="E38" s="7" t="s">
        <v>21</v>
      </c>
      <c r="F38" s="8">
        <f>F39*8</f>
        <v>160</v>
      </c>
      <c r="H38" s="40"/>
    </row>
    <row r="39" spans="1:10" ht="13.95" customHeight="1" thickBot="1" x14ac:dyDescent="0.3">
      <c r="A39" s="4"/>
      <c r="B39" s="4"/>
      <c r="C39" s="9"/>
      <c r="D39" s="2"/>
      <c r="E39" s="10" t="s">
        <v>22</v>
      </c>
      <c r="F39" s="11">
        <v>20</v>
      </c>
      <c r="H39" s="40"/>
    </row>
    <row r="40" spans="1:10" ht="14.4" thickBot="1" x14ac:dyDescent="0.3">
      <c r="A40" s="116" t="s">
        <v>23</v>
      </c>
      <c r="B40" s="116"/>
      <c r="C40" s="116"/>
      <c r="D40" s="12"/>
      <c r="E40" s="2"/>
      <c r="F40" s="2"/>
      <c r="H40" s="40"/>
    </row>
    <row r="41" spans="1:10" ht="15" customHeight="1" x14ac:dyDescent="0.25">
      <c r="A41" s="13"/>
      <c r="B41" s="13"/>
      <c r="C41" s="6"/>
      <c r="D41" s="6"/>
      <c r="E41" s="14" t="s">
        <v>24</v>
      </c>
      <c r="F41" s="15">
        <f>SUMIF(F9:F36,"Billable",H9:H36)</f>
        <v>0</v>
      </c>
      <c r="H41" s="38"/>
    </row>
    <row r="42" spans="1:10" ht="14.4" thickBot="1" x14ac:dyDescent="0.3">
      <c r="A42" s="117" t="s">
        <v>25</v>
      </c>
      <c r="B42" s="117"/>
      <c r="C42" s="117"/>
      <c r="D42" s="16"/>
      <c r="E42" s="17" t="s">
        <v>26</v>
      </c>
      <c r="F42" s="18">
        <f>SUMIF(F9:F36,"Non-Billable",H9:H36)</f>
        <v>0</v>
      </c>
      <c r="H42" s="40"/>
    </row>
    <row r="43" spans="1:10" ht="14.4" thickBot="1" x14ac:dyDescent="0.3">
      <c r="A43" s="2"/>
      <c r="B43" s="2"/>
      <c r="C43" s="2"/>
      <c r="D43" s="2"/>
      <c r="E43" s="19" t="s">
        <v>27</v>
      </c>
      <c r="F43" s="44">
        <f>F41+F42</f>
        <v>0</v>
      </c>
      <c r="H43" s="40"/>
    </row>
    <row r="44" spans="1:10" ht="13.8" thickBot="1" x14ac:dyDescent="0.3">
      <c r="A44" s="2"/>
      <c r="B44" s="2"/>
      <c r="C44" s="2"/>
      <c r="D44" s="2"/>
      <c r="E44" s="2"/>
      <c r="F44" s="2"/>
      <c r="H44" s="40"/>
    </row>
    <row r="45" spans="1:10" ht="13.8" thickBot="1" x14ac:dyDescent="0.3">
      <c r="A45" s="2"/>
      <c r="B45" s="2"/>
      <c r="C45" s="2"/>
      <c r="D45" s="2"/>
      <c r="E45" s="20" t="s">
        <v>28</v>
      </c>
      <c r="F45" s="21"/>
      <c r="H45" s="40"/>
    </row>
    <row r="46" spans="1:10" ht="13.2" thickBot="1" x14ac:dyDescent="0.25">
      <c r="E46" s="39"/>
      <c r="H46" s="40"/>
    </row>
  </sheetData>
  <mergeCells count="2">
    <mergeCell ref="A40:C40"/>
    <mergeCell ref="A42:C42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6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37:E38 D40:E42 E45">
    <cfRule type="containsText" dxfId="22" priority="1" operator="containsText" text="Religious Leave">
      <formula>NOT(ISERROR(SEARCH("Religious Leave",D37)))</formula>
    </cfRule>
    <cfRule type="containsText" dxfId="21" priority="2" operator="containsText" text="Birthday Leave">
      <formula>NOT(ISERROR(SEARCH("Birthday Leave",D37)))</formula>
    </cfRule>
    <cfRule type="containsText" dxfId="20" priority="3" operator="containsText" text="Study Leave">
      <formula>NOT(ISERROR(SEARCH("Study Leave",D37)))</formula>
    </cfRule>
    <cfRule type="containsText" dxfId="19" priority="4" operator="containsText" text="Family Responsibility Leave">
      <formula>NOT(ISERROR(SEARCH("Family Responsibility Leave",D37)))</formula>
    </cfRule>
    <cfRule type="containsText" dxfId="18" priority="5" operator="containsText" text="Sick Leave">
      <formula>NOT(ISERROR(SEARCH("Sick Leave",D37)))</formula>
    </cfRule>
    <cfRule type="containsText" dxfId="17" priority="6" operator="containsText" text="Annual Leave">
      <formula>NOT(ISERROR(SEARCH("Annual Leave",D37)))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6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375413B-0301-4C39-BE43-5A483338A0E5}">
          <x14:formula1>
            <xm:f>Key!$H$3:$H$87</xm:f>
          </x14:formula1>
          <xm:sqref>B5</xm:sqref>
        </x14:dataValidation>
        <x14:dataValidation type="list" allowBlank="1" showInputMessage="1" showErrorMessage="1" xr:uid="{330989AD-23D3-40C7-8F80-A5E41B510EE5}">
          <x14:formula1>
            <xm:f>Key!$J$3:$J$4</xm:f>
          </x14:formula1>
          <xm:sqref>F9:F36</xm:sqref>
        </x14:dataValidation>
        <x14:dataValidation type="list" allowBlank="1" showInputMessage="1" showErrorMessage="1" xr:uid="{B2DFC771-5C46-4C68-BCEC-AB576F2398A7}">
          <x14:formula1>
            <xm:f>Key!$B$2:$B$48</xm:f>
          </x14:formula1>
          <xm:sqref>C9:C36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57"/>
  <sheetViews>
    <sheetView tabSelected="1" topLeftCell="A31" zoomScale="70" zoomScaleNormal="75" workbookViewId="0">
      <selection activeCell="K42" sqref="K4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228</v>
      </c>
      <c r="C5" s="37"/>
      <c r="H5" s="40"/>
    </row>
    <row r="6" spans="1:10" x14ac:dyDescent="0.2">
      <c r="A6" s="37" t="s">
        <v>92</v>
      </c>
      <c r="B6" s="73">
        <f>F52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46082</v>
      </c>
      <c r="B9" s="31" t="s">
        <v>16</v>
      </c>
      <c r="C9" s="32"/>
      <c r="D9" s="32"/>
      <c r="E9" s="32"/>
      <c r="F9" s="32"/>
      <c r="G9" s="33"/>
      <c r="H9" s="34">
        <f>J9-I9</f>
        <v>0</v>
      </c>
      <c r="I9" s="35"/>
      <c r="J9" s="35"/>
    </row>
    <row r="10" spans="1:10" x14ac:dyDescent="0.2">
      <c r="A10" s="22">
        <v>46083</v>
      </c>
      <c r="B10" s="22" t="s">
        <v>17</v>
      </c>
      <c r="C10" s="27"/>
      <c r="D10" s="27"/>
      <c r="E10" s="27"/>
      <c r="F10" s="27"/>
      <c r="G10" s="28"/>
      <c r="H10" s="29">
        <f t="shared" ref="H10:H23" si="0">J10-I10</f>
        <v>0</v>
      </c>
      <c r="I10" s="30"/>
      <c r="J10" s="30"/>
    </row>
    <row r="11" spans="1:10" x14ac:dyDescent="0.2">
      <c r="A11" s="22">
        <v>46084</v>
      </c>
      <c r="B11" s="22" t="s">
        <v>18</v>
      </c>
      <c r="C11" s="27"/>
      <c r="D11" s="27"/>
      <c r="E11" s="27"/>
      <c r="F11" s="27"/>
      <c r="G11" s="28"/>
      <c r="H11" s="29">
        <f t="shared" si="0"/>
        <v>0</v>
      </c>
      <c r="I11" s="30"/>
      <c r="J11" s="30"/>
    </row>
    <row r="12" spans="1:10" x14ac:dyDescent="0.2">
      <c r="A12" s="22">
        <v>46085</v>
      </c>
      <c r="B12" s="22" t="s">
        <v>19</v>
      </c>
      <c r="C12" s="27"/>
      <c r="D12" s="27"/>
      <c r="E12" s="27"/>
      <c r="F12" s="27"/>
      <c r="G12" s="28"/>
      <c r="H12" s="29">
        <f t="shared" si="0"/>
        <v>0</v>
      </c>
      <c r="I12" s="30"/>
      <c r="J12" s="30"/>
    </row>
    <row r="13" spans="1:10" x14ac:dyDescent="0.2">
      <c r="A13" s="22">
        <v>46086</v>
      </c>
      <c r="B13" s="22" t="s">
        <v>20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46087</v>
      </c>
      <c r="B14" s="22" t="s">
        <v>11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31">
        <v>46088</v>
      </c>
      <c r="B15" s="31" t="s">
        <v>14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31">
        <v>46089</v>
      </c>
      <c r="B16" s="31" t="s">
        <v>16</v>
      </c>
      <c r="C16" s="32"/>
      <c r="D16" s="32"/>
      <c r="E16" s="32"/>
      <c r="F16" s="32"/>
      <c r="G16" s="33"/>
      <c r="H16" s="34">
        <f t="shared" si="0"/>
        <v>0</v>
      </c>
      <c r="I16" s="35"/>
      <c r="J16" s="35"/>
    </row>
    <row r="17" spans="1:10" x14ac:dyDescent="0.2">
      <c r="A17" s="22">
        <v>46090</v>
      </c>
      <c r="B17" s="22" t="s">
        <v>17</v>
      </c>
      <c r="C17" s="27"/>
      <c r="D17" s="27"/>
      <c r="E17" s="27"/>
      <c r="F17" s="27"/>
      <c r="G17" s="28"/>
      <c r="H17" s="29">
        <f t="shared" si="0"/>
        <v>0</v>
      </c>
      <c r="I17" s="30"/>
      <c r="J17" s="30"/>
    </row>
    <row r="18" spans="1:10" x14ac:dyDescent="0.2">
      <c r="A18" s="22">
        <v>46091</v>
      </c>
      <c r="B18" s="22" t="s">
        <v>18</v>
      </c>
      <c r="C18" s="27"/>
      <c r="D18" s="27"/>
      <c r="E18" s="27"/>
      <c r="F18" s="27"/>
      <c r="G18" s="28"/>
      <c r="H18" s="29">
        <f t="shared" si="0"/>
        <v>0</v>
      </c>
      <c r="I18" s="30"/>
      <c r="J18" s="30"/>
    </row>
    <row r="19" spans="1:10" x14ac:dyDescent="0.2">
      <c r="A19" s="22">
        <v>46092</v>
      </c>
      <c r="B19" s="22" t="s">
        <v>19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46093</v>
      </c>
      <c r="B20" s="22" t="s">
        <v>20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46094</v>
      </c>
      <c r="B21" s="22" t="s">
        <v>11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31">
        <v>46095</v>
      </c>
      <c r="B22" s="31" t="s">
        <v>14</v>
      </c>
      <c r="C22" s="32"/>
      <c r="D22" s="32"/>
      <c r="E22" s="32"/>
      <c r="F22" s="32"/>
      <c r="G22" s="33"/>
      <c r="H22" s="34">
        <f t="shared" si="0"/>
        <v>0</v>
      </c>
      <c r="I22" s="35"/>
      <c r="J22" s="35"/>
    </row>
    <row r="23" spans="1:10" x14ac:dyDescent="0.2">
      <c r="A23" s="31">
        <v>46096</v>
      </c>
      <c r="B23" s="31" t="s">
        <v>16</v>
      </c>
      <c r="C23" s="32"/>
      <c r="D23" s="32"/>
      <c r="E23" s="32"/>
      <c r="F23" s="32"/>
      <c r="G23" s="33"/>
      <c r="H23" s="34">
        <f t="shared" si="0"/>
        <v>0</v>
      </c>
      <c r="I23" s="35"/>
      <c r="J23" s="35"/>
    </row>
    <row r="24" spans="1:10" x14ac:dyDescent="0.2">
      <c r="A24" s="22">
        <v>46097</v>
      </c>
      <c r="B24" s="22" t="s">
        <v>17</v>
      </c>
      <c r="C24" s="27"/>
      <c r="D24" s="27"/>
      <c r="E24" s="27"/>
      <c r="F24" s="27"/>
      <c r="G24" s="28"/>
      <c r="H24" s="29"/>
      <c r="I24" s="30"/>
      <c r="J24" s="30"/>
    </row>
    <row r="25" spans="1:10" x14ac:dyDescent="0.2">
      <c r="A25" s="22">
        <v>46098</v>
      </c>
      <c r="B25" s="22" t="s">
        <v>18</v>
      </c>
      <c r="C25" s="27"/>
      <c r="D25" s="27"/>
      <c r="E25" s="27"/>
      <c r="F25" s="27"/>
      <c r="G25" s="28"/>
      <c r="H25" s="29">
        <f t="shared" ref="H25:H47" si="1">J25-I25</f>
        <v>0</v>
      </c>
      <c r="I25" s="30"/>
      <c r="J25" s="30"/>
    </row>
    <row r="26" spans="1:10" x14ac:dyDescent="0.2">
      <c r="A26" s="22">
        <v>46099</v>
      </c>
      <c r="B26" s="22" t="s">
        <v>19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46100</v>
      </c>
      <c r="B27" s="22" t="s">
        <v>20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22">
        <v>46101</v>
      </c>
      <c r="B28" s="22" t="s">
        <v>11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31">
        <v>46102</v>
      </c>
      <c r="B29" s="22" t="s">
        <v>14</v>
      </c>
      <c r="C29" s="48" t="s">
        <v>132</v>
      </c>
      <c r="D29" s="48"/>
      <c r="E29" s="48" t="s">
        <v>89</v>
      </c>
      <c r="F29" s="48" t="s">
        <v>15</v>
      </c>
      <c r="G29" s="49" t="s">
        <v>106</v>
      </c>
      <c r="H29" s="50">
        <f t="shared" si="1"/>
        <v>0.33333333333333331</v>
      </c>
      <c r="I29" s="51">
        <v>0.33333333333333331</v>
      </c>
      <c r="J29" s="51">
        <v>0.66666666666666663</v>
      </c>
    </row>
    <row r="30" spans="1:10" x14ac:dyDescent="0.2">
      <c r="A30" s="31">
        <v>46103</v>
      </c>
      <c r="B30" s="22" t="s">
        <v>16</v>
      </c>
      <c r="C30" s="32"/>
      <c r="D30" s="32"/>
      <c r="E30" s="32"/>
      <c r="F30" s="32"/>
      <c r="G30" s="33"/>
      <c r="H30" s="34">
        <f t="shared" si="1"/>
        <v>0</v>
      </c>
      <c r="I30" s="35"/>
      <c r="J30" s="35"/>
    </row>
    <row r="31" spans="1:10" x14ac:dyDescent="0.2">
      <c r="A31" s="22"/>
      <c r="B31" s="22"/>
      <c r="C31" s="27"/>
      <c r="D31" s="27"/>
      <c r="E31" s="27"/>
      <c r="F31" s="27"/>
      <c r="G31" s="28"/>
      <c r="H31" s="29"/>
      <c r="I31" s="30"/>
      <c r="J31" s="30"/>
    </row>
    <row r="32" spans="1:10" x14ac:dyDescent="0.2">
      <c r="A32" s="22"/>
      <c r="B32" s="22"/>
      <c r="C32" s="27"/>
      <c r="D32" s="27"/>
      <c r="E32" s="27"/>
      <c r="F32" s="27"/>
      <c r="G32" s="28"/>
      <c r="H32" s="29"/>
      <c r="I32" s="30"/>
      <c r="J32" s="30"/>
    </row>
    <row r="33" spans="1:10" x14ac:dyDescent="0.2">
      <c r="A33" s="22"/>
      <c r="B33" s="22"/>
      <c r="C33" s="27"/>
      <c r="D33" s="27"/>
      <c r="E33" s="27"/>
      <c r="F33" s="27"/>
      <c r="G33" s="28"/>
      <c r="H33" s="29"/>
      <c r="I33" s="30"/>
      <c r="J33" s="30"/>
    </row>
    <row r="34" spans="1:10" x14ac:dyDescent="0.2">
      <c r="A34" s="22"/>
      <c r="B34" s="22"/>
      <c r="C34" s="27"/>
      <c r="D34" s="27"/>
      <c r="E34" s="27"/>
      <c r="F34" s="27"/>
      <c r="G34" s="28"/>
      <c r="H34" s="29"/>
      <c r="I34" s="30"/>
      <c r="J34" s="30"/>
    </row>
    <row r="35" spans="1:10" x14ac:dyDescent="0.2">
      <c r="A35" s="22"/>
      <c r="B35" s="22"/>
      <c r="C35" s="27"/>
      <c r="D35" s="27"/>
      <c r="E35" s="27"/>
      <c r="F35" s="27"/>
      <c r="G35" s="28"/>
      <c r="H35" s="29"/>
      <c r="I35" s="30"/>
      <c r="J35" s="30"/>
    </row>
    <row r="36" spans="1:10" x14ac:dyDescent="0.2">
      <c r="A36" s="22"/>
      <c r="B36" s="22"/>
      <c r="C36" s="27"/>
      <c r="D36" s="27"/>
      <c r="E36" s="27"/>
      <c r="F36" s="27"/>
      <c r="G36" s="28"/>
      <c r="H36" s="29"/>
      <c r="I36" s="30"/>
      <c r="J36" s="30"/>
    </row>
    <row r="37" spans="1:10" x14ac:dyDescent="0.2">
      <c r="A37" s="22"/>
      <c r="B37" s="22"/>
      <c r="C37" s="27"/>
      <c r="D37" s="27"/>
      <c r="E37" s="27"/>
      <c r="F37" s="27"/>
      <c r="G37" s="28"/>
      <c r="H37" s="29"/>
      <c r="I37" s="30"/>
      <c r="J37" s="30"/>
    </row>
    <row r="38" spans="1:10" x14ac:dyDescent="0.2">
      <c r="A38" s="22"/>
      <c r="B38" s="22"/>
      <c r="C38" s="27"/>
      <c r="D38" s="27"/>
      <c r="E38" s="27"/>
      <c r="F38" s="27"/>
      <c r="G38" s="28"/>
      <c r="H38" s="29"/>
      <c r="I38" s="30"/>
      <c r="J38" s="30"/>
    </row>
    <row r="39" spans="1:10" x14ac:dyDescent="0.2">
      <c r="A39" s="22"/>
      <c r="B39" s="22"/>
      <c r="C39" s="27"/>
      <c r="D39" s="27"/>
      <c r="E39" s="27"/>
      <c r="F39" s="27"/>
      <c r="G39" s="28"/>
      <c r="H39" s="29"/>
      <c r="I39" s="30"/>
      <c r="J39" s="30"/>
    </row>
    <row r="40" spans="1:10" x14ac:dyDescent="0.2">
      <c r="A40" s="22"/>
      <c r="B40" s="22"/>
      <c r="C40" s="27"/>
      <c r="D40" s="27"/>
      <c r="E40" s="27"/>
      <c r="F40" s="27"/>
      <c r="G40" s="28"/>
      <c r="H40" s="29"/>
      <c r="I40" s="30"/>
      <c r="J40" s="30"/>
    </row>
    <row r="41" spans="1:10" x14ac:dyDescent="0.2">
      <c r="A41" s="22"/>
      <c r="B41" s="22"/>
      <c r="C41" s="27"/>
      <c r="D41" s="27"/>
      <c r="E41" s="27"/>
      <c r="F41" s="27"/>
      <c r="G41" s="28"/>
      <c r="H41" s="29"/>
      <c r="I41" s="30"/>
      <c r="J41" s="30"/>
    </row>
    <row r="42" spans="1:10" x14ac:dyDescent="0.2">
      <c r="A42" s="31">
        <v>46109</v>
      </c>
      <c r="B42" s="31" t="s">
        <v>14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x14ac:dyDescent="0.2">
      <c r="A43" s="31">
        <v>46110</v>
      </c>
      <c r="B43" s="31" t="s">
        <v>16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0" ht="50.4" x14ac:dyDescent="0.2">
      <c r="A44" s="22">
        <v>46111</v>
      </c>
      <c r="B44" s="22" t="s">
        <v>17</v>
      </c>
      <c r="C44" s="27" t="s">
        <v>132</v>
      </c>
      <c r="D44" s="27"/>
      <c r="E44" s="27" t="s">
        <v>41</v>
      </c>
      <c r="F44" s="27" t="s">
        <v>15</v>
      </c>
      <c r="G44" s="28" t="s">
        <v>229</v>
      </c>
      <c r="H44" s="29">
        <f t="shared" si="1"/>
        <v>0.18750000000000006</v>
      </c>
      <c r="I44" s="30">
        <v>0.33333333333333331</v>
      </c>
      <c r="J44" s="30">
        <v>0.52083333333333337</v>
      </c>
    </row>
    <row r="45" spans="1:10" ht="25.2" x14ac:dyDescent="0.2">
      <c r="A45" s="22">
        <v>46111</v>
      </c>
      <c r="B45" s="22" t="s">
        <v>17</v>
      </c>
      <c r="C45" s="27" t="s">
        <v>132</v>
      </c>
      <c r="D45" s="27"/>
      <c r="E45" s="27" t="s">
        <v>41</v>
      </c>
      <c r="F45" s="27" t="s">
        <v>15</v>
      </c>
      <c r="G45" s="28" t="s">
        <v>230</v>
      </c>
      <c r="H45" s="29">
        <f>J45-I45</f>
        <v>0.14583333333333337</v>
      </c>
      <c r="I45" s="30">
        <v>0.56597222222222221</v>
      </c>
      <c r="J45" s="30">
        <v>0.71180555555555558</v>
      </c>
    </row>
    <row r="46" spans="1:10" ht="37.799999999999997" x14ac:dyDescent="0.2">
      <c r="A46" s="22">
        <v>46112</v>
      </c>
      <c r="B46" s="22" t="s">
        <v>18</v>
      </c>
      <c r="C46" s="27" t="s">
        <v>132</v>
      </c>
      <c r="D46" s="27"/>
      <c r="E46" s="27" t="s">
        <v>41</v>
      </c>
      <c r="F46" s="27" t="s">
        <v>15</v>
      </c>
      <c r="G46" s="28" t="s">
        <v>231</v>
      </c>
      <c r="H46" s="29">
        <f>J46-I46</f>
        <v>0.17916666666666664</v>
      </c>
      <c r="I46" s="30">
        <v>0.33333333333333331</v>
      </c>
      <c r="J46" s="30">
        <v>0.51249999999999996</v>
      </c>
    </row>
    <row r="47" spans="1:10" ht="25.2" x14ac:dyDescent="0.2">
      <c r="A47" s="22">
        <v>46112</v>
      </c>
      <c r="B47" s="22" t="s">
        <v>18</v>
      </c>
      <c r="C47" s="27" t="s">
        <v>132</v>
      </c>
      <c r="D47" s="27"/>
      <c r="E47" s="27" t="s">
        <v>41</v>
      </c>
      <c r="F47" s="27" t="s">
        <v>15</v>
      </c>
      <c r="G47" s="28" t="s">
        <v>232</v>
      </c>
      <c r="H47" s="29">
        <f t="shared" si="1"/>
        <v>0.17361111111111105</v>
      </c>
      <c r="I47" s="30">
        <v>0.55208333333333337</v>
      </c>
      <c r="J47" s="30">
        <v>0.72569444444444442</v>
      </c>
    </row>
    <row r="48" spans="1:10" ht="13.95" customHeight="1" thickBot="1" x14ac:dyDescent="0.3">
      <c r="A48" s="46"/>
      <c r="B48" s="46"/>
      <c r="C48" s="45"/>
      <c r="D48" s="45"/>
      <c r="E48" s="45"/>
      <c r="F48" s="45"/>
      <c r="G48" s="45"/>
      <c r="H48" s="36"/>
      <c r="I48" s="37"/>
    </row>
    <row r="49" spans="1:8" ht="13.95" customHeight="1" x14ac:dyDescent="0.25">
      <c r="A49" s="4"/>
      <c r="B49" s="4"/>
      <c r="C49" s="5"/>
      <c r="D49" s="6"/>
      <c r="E49" s="7" t="s">
        <v>21</v>
      </c>
      <c r="F49" s="8">
        <f>F50*8</f>
        <v>176</v>
      </c>
      <c r="H49" s="40"/>
    </row>
    <row r="50" spans="1:8" ht="13.95" customHeight="1" thickBot="1" x14ac:dyDescent="0.3">
      <c r="A50" s="4"/>
      <c r="B50" s="4"/>
      <c r="C50" s="9"/>
      <c r="D50" s="2"/>
      <c r="E50" s="10" t="s">
        <v>22</v>
      </c>
      <c r="F50" s="11">
        <v>22</v>
      </c>
      <c r="H50" s="40"/>
    </row>
    <row r="51" spans="1:8" ht="13.95" customHeight="1" thickBot="1" x14ac:dyDescent="0.3">
      <c r="A51" s="116" t="s">
        <v>23</v>
      </c>
      <c r="B51" s="116"/>
      <c r="C51" s="116"/>
      <c r="D51" s="12"/>
      <c r="E51" s="2"/>
      <c r="F51" s="2"/>
      <c r="H51" s="40"/>
    </row>
    <row r="52" spans="1:8" ht="13.95" customHeight="1" x14ac:dyDescent="0.25">
      <c r="A52" s="13"/>
      <c r="B52" s="13"/>
      <c r="C52" s="6"/>
      <c r="D52" s="6"/>
      <c r="E52" s="14" t="s">
        <v>24</v>
      </c>
      <c r="F52" s="15">
        <f>SUMIF(F9:F47,"Billable",H9:H47)</f>
        <v>0</v>
      </c>
      <c r="H52" s="38"/>
    </row>
    <row r="53" spans="1:8" ht="14.4" thickBot="1" x14ac:dyDescent="0.3">
      <c r="A53" s="117" t="s">
        <v>25</v>
      </c>
      <c r="B53" s="117"/>
      <c r="C53" s="117"/>
      <c r="D53" s="16"/>
      <c r="E53" s="17" t="s">
        <v>26</v>
      </c>
      <c r="F53" s="18">
        <f>SUMIF(F9:F47,"Non-Billable",H9:H47)</f>
        <v>1.0194444444444444</v>
      </c>
      <c r="H53" s="40"/>
    </row>
    <row r="54" spans="1:8" ht="15" customHeight="1" thickBot="1" x14ac:dyDescent="0.3">
      <c r="A54" s="2"/>
      <c r="B54" s="2"/>
      <c r="C54" s="2"/>
      <c r="D54" s="2"/>
      <c r="E54" s="19" t="s">
        <v>27</v>
      </c>
      <c r="F54" s="44">
        <f>F52+F53</f>
        <v>1.0194444444444444</v>
      </c>
      <c r="H54" s="40"/>
    </row>
    <row r="55" spans="1:8" ht="13.8" thickBot="1" x14ac:dyDescent="0.3">
      <c r="A55" s="2"/>
      <c r="B55" s="2"/>
      <c r="C55" s="2"/>
      <c r="D55" s="2"/>
      <c r="E55" s="2"/>
      <c r="F55" s="2"/>
      <c r="H55" s="40"/>
    </row>
    <row r="56" spans="1:8" ht="13.8" thickBot="1" x14ac:dyDescent="0.3">
      <c r="A56" s="2"/>
      <c r="B56" s="2"/>
      <c r="C56" s="2"/>
      <c r="D56" s="2"/>
      <c r="E56" s="20" t="s">
        <v>28</v>
      </c>
      <c r="F56" s="21"/>
      <c r="H56" s="40"/>
    </row>
    <row r="57" spans="1:8" ht="13.2" thickBot="1" x14ac:dyDescent="0.25">
      <c r="E57" s="39"/>
      <c r="H57" s="40"/>
    </row>
  </sheetData>
  <mergeCells count="2">
    <mergeCell ref="A51:C51"/>
    <mergeCell ref="A53:C53"/>
  </mergeCells>
  <phoneticPr fontId="10" type="noConversion"/>
  <conditionalFormatting sqref="A6:B6 D6:E7 D48:E49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57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51:E53 E56">
    <cfRule type="containsText" dxfId="6" priority="1" operator="containsText" text="Religious Leave">
      <formula>NOT(ISERROR(SEARCH("Religious Leave",D51)))</formula>
    </cfRule>
    <cfRule type="containsText" dxfId="5" priority="2" operator="containsText" text="Birthday Leave">
      <formula>NOT(ISERROR(SEARCH("Birthday Leave",D51)))</formula>
    </cfRule>
    <cfRule type="containsText" dxfId="4" priority="3" operator="containsText" text="Study Leave">
      <formula>NOT(ISERROR(SEARCH("Study Leave",D51)))</formula>
    </cfRule>
    <cfRule type="containsText" dxfId="3" priority="4" operator="containsText" text="Family Responsibility Leave">
      <formula>NOT(ISERROR(SEARCH("Family Responsibility Leave",D51)))</formula>
    </cfRule>
    <cfRule type="containsText" dxfId="2" priority="5" operator="containsText" text="Sick Leave">
      <formula>NOT(ISERROR(SEARCH("Sick Leave",D51)))</formula>
    </cfRule>
    <cfRule type="containsText" dxfId="1" priority="6" operator="containsText" text="Annual Leave">
      <formula>NOT(ISERROR(SEARCH("Annual Leave",D51)))</formula>
    </cfRule>
    <cfRule type="cellIs" dxfId="0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47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F9:F47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C9:C47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B12" sqref="B12:C12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1"/>
      <c r="B1" s="81"/>
      <c r="C1" s="81"/>
      <c r="D1" s="81"/>
      <c r="E1" s="81"/>
      <c r="F1" s="81"/>
    </row>
    <row r="2" spans="1:15" x14ac:dyDescent="0.2">
      <c r="A2" s="80"/>
      <c r="B2" s="80"/>
      <c r="C2" s="85"/>
      <c r="D2" s="85"/>
      <c r="E2" s="85"/>
      <c r="F2" s="85"/>
    </row>
    <row r="3" spans="1:15" x14ac:dyDescent="0.2">
      <c r="A3" s="80"/>
      <c r="B3" s="80"/>
      <c r="C3" s="86"/>
      <c r="D3" s="86"/>
      <c r="E3" s="86"/>
      <c r="F3" s="86"/>
    </row>
    <row r="4" spans="1:15" x14ac:dyDescent="0.2">
      <c r="A4" s="80"/>
      <c r="B4" s="80"/>
      <c r="C4" s="87"/>
      <c r="D4" s="87"/>
      <c r="E4" s="87"/>
      <c r="F4" s="87"/>
    </row>
    <row r="5" spans="1:15" x14ac:dyDescent="0.2">
      <c r="A5" s="37" t="s">
        <v>2</v>
      </c>
      <c r="B5" s="23" t="s">
        <v>107</v>
      </c>
      <c r="C5" s="87"/>
      <c r="D5" s="87"/>
      <c r="E5" s="87"/>
      <c r="F5" s="87"/>
    </row>
    <row r="6" spans="1:15" x14ac:dyDescent="0.2">
      <c r="A6" s="80" t="s">
        <v>182</v>
      </c>
      <c r="B6" s="82">
        <f>F17</f>
        <v>200</v>
      </c>
      <c r="C6" s="85"/>
      <c r="D6" s="86"/>
      <c r="E6" s="86"/>
      <c r="F6" s="86"/>
    </row>
    <row r="7" spans="1:15" ht="13.5" customHeight="1" x14ac:dyDescent="0.2">
      <c r="A7" s="74"/>
      <c r="B7" s="75"/>
      <c r="C7" s="75"/>
      <c r="D7" s="86"/>
      <c r="E7" s="86"/>
      <c r="F7" s="86"/>
    </row>
    <row r="8" spans="1:15" ht="27.45" customHeight="1" x14ac:dyDescent="0.2">
      <c r="A8" s="126" t="s">
        <v>183</v>
      </c>
      <c r="B8" s="126"/>
      <c r="C8" s="126"/>
      <c r="D8" s="126"/>
      <c r="E8" s="126"/>
      <c r="F8" s="126"/>
    </row>
    <row r="9" spans="1:15" ht="13.5" customHeight="1" thickBot="1" x14ac:dyDescent="0.25">
      <c r="A9" s="83" t="s">
        <v>187</v>
      </c>
      <c r="B9" s="129" t="s">
        <v>184</v>
      </c>
      <c r="C9" s="130"/>
      <c r="D9" s="129" t="s">
        <v>93</v>
      </c>
      <c r="E9" s="130"/>
      <c r="F9" s="84" t="s">
        <v>94</v>
      </c>
    </row>
    <row r="10" spans="1:15" x14ac:dyDescent="0.2">
      <c r="A10" s="79"/>
      <c r="B10" s="120" t="s">
        <v>185</v>
      </c>
      <c r="C10" s="120"/>
      <c r="D10" s="120" t="s">
        <v>130</v>
      </c>
      <c r="E10" s="120"/>
      <c r="F10" s="78">
        <v>200</v>
      </c>
      <c r="G10" s="127" t="s">
        <v>186</v>
      </c>
      <c r="H10" s="128"/>
      <c r="I10" s="128"/>
      <c r="J10" s="128"/>
      <c r="K10" s="128"/>
      <c r="L10" s="128"/>
      <c r="M10" s="128"/>
      <c r="N10" s="128"/>
      <c r="O10" s="128"/>
    </row>
    <row r="11" spans="1:15" x14ac:dyDescent="0.2">
      <c r="A11" s="79"/>
      <c r="B11" s="118" t="s">
        <v>188</v>
      </c>
      <c r="C11" s="119"/>
      <c r="D11" s="120" t="s">
        <v>136</v>
      </c>
      <c r="E11" s="120"/>
      <c r="F11" s="78"/>
    </row>
    <row r="12" spans="1:15" x14ac:dyDescent="0.2">
      <c r="A12" s="79"/>
      <c r="B12" s="118" t="s">
        <v>189</v>
      </c>
      <c r="C12" s="119"/>
      <c r="D12" s="120"/>
      <c r="E12" s="120"/>
      <c r="F12" s="78"/>
    </row>
    <row r="13" spans="1:15" x14ac:dyDescent="0.2">
      <c r="A13" s="79"/>
      <c r="B13" s="118"/>
      <c r="C13" s="119"/>
      <c r="D13" s="120"/>
      <c r="E13" s="120"/>
      <c r="F13" s="78"/>
    </row>
    <row r="14" spans="1:15" x14ac:dyDescent="0.2">
      <c r="A14" s="79"/>
      <c r="B14" s="118"/>
      <c r="C14" s="119"/>
      <c r="D14" s="120"/>
      <c r="E14" s="120"/>
      <c r="F14" s="78"/>
    </row>
    <row r="15" spans="1:15" x14ac:dyDescent="0.2">
      <c r="A15" s="79"/>
      <c r="B15" s="124"/>
      <c r="C15" s="125"/>
      <c r="D15" s="120"/>
      <c r="E15" s="120"/>
      <c r="F15" s="78"/>
    </row>
    <row r="16" spans="1:15" ht="13.2" thickBot="1" x14ac:dyDescent="0.25">
      <c r="A16" s="79"/>
      <c r="B16" s="118"/>
      <c r="C16" s="119"/>
      <c r="D16" s="120"/>
      <c r="E16" s="120"/>
      <c r="F16" s="78"/>
    </row>
    <row r="17" spans="1:6" ht="13.5" customHeight="1" thickBot="1" x14ac:dyDescent="0.25">
      <c r="A17" s="121" t="s">
        <v>95</v>
      </c>
      <c r="B17" s="122"/>
      <c r="C17" s="122"/>
      <c r="D17" s="122"/>
      <c r="E17" s="123"/>
      <c r="F17" s="77">
        <f>SUM(F10:F16)</f>
        <v>200</v>
      </c>
    </row>
    <row r="18" spans="1:6" x14ac:dyDescent="0.2">
      <c r="A18" s="74"/>
      <c r="B18" s="75"/>
      <c r="C18" s="75"/>
      <c r="D18" s="75"/>
      <c r="E18" s="76"/>
      <c r="F18" s="76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Key!$H$3:$H$84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C11" sqref="C11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1"/>
      <c r="B4" s="131"/>
    </row>
    <row r="5" spans="1:6" x14ac:dyDescent="0.2">
      <c r="A5" s="37" t="s">
        <v>2</v>
      </c>
      <c r="B5" s="23" t="s">
        <v>107</v>
      </c>
    </row>
    <row r="6" spans="1:6" x14ac:dyDescent="0.2">
      <c r="A6" s="80" t="s">
        <v>191</v>
      </c>
      <c r="B6" s="80"/>
    </row>
    <row r="7" spans="1:6" x14ac:dyDescent="0.2">
      <c r="A7" s="96" t="s">
        <v>192</v>
      </c>
      <c r="B7" s="96"/>
    </row>
    <row r="8" spans="1:6" x14ac:dyDescent="0.2">
      <c r="A8" s="97"/>
      <c r="B8" s="86"/>
    </row>
    <row r="9" spans="1:6" ht="27.45" customHeight="1" x14ac:dyDescent="0.2">
      <c r="A9" s="144" t="s">
        <v>190</v>
      </c>
      <c r="B9" s="144"/>
      <c r="C9" s="144"/>
      <c r="D9" s="144"/>
      <c r="E9" s="144"/>
      <c r="F9" s="144"/>
    </row>
    <row r="10" spans="1:6" ht="25.2" x14ac:dyDescent="0.2">
      <c r="A10" s="88" t="s">
        <v>96</v>
      </c>
      <c r="B10" s="88" t="s">
        <v>97</v>
      </c>
      <c r="C10" s="88" t="s">
        <v>98</v>
      </c>
      <c r="D10" s="88" t="s">
        <v>99</v>
      </c>
      <c r="E10" s="88" t="s">
        <v>100</v>
      </c>
      <c r="F10" s="88" t="s">
        <v>101</v>
      </c>
    </row>
    <row r="11" spans="1:6" x14ac:dyDescent="0.2">
      <c r="A11" s="88"/>
      <c r="B11" s="88"/>
      <c r="C11" s="88"/>
      <c r="D11" s="88"/>
      <c r="E11" s="88"/>
      <c r="F11" s="88"/>
    </row>
    <row r="12" spans="1:6" x14ac:dyDescent="0.2">
      <c r="A12" s="88"/>
      <c r="B12" s="88"/>
      <c r="C12" s="88"/>
      <c r="D12" s="88"/>
      <c r="E12" s="88"/>
      <c r="F12" s="88"/>
    </row>
    <row r="13" spans="1:6" ht="13.2" thickBot="1" x14ac:dyDescent="0.25">
      <c r="A13" s="88"/>
      <c r="B13" s="88"/>
      <c r="C13" s="88"/>
      <c r="D13" s="88"/>
      <c r="E13" s="88"/>
      <c r="F13" s="88"/>
    </row>
    <row r="14" spans="1:6" ht="13.2" thickBot="1" x14ac:dyDescent="0.25">
      <c r="A14" s="89"/>
      <c r="B14" s="90"/>
      <c r="C14" s="90"/>
      <c r="D14" s="91">
        <f>SUM(D11:D13)</f>
        <v>0</v>
      </c>
      <c r="E14" s="90"/>
      <c r="F14" s="92"/>
    </row>
    <row r="15" spans="1:6" ht="13.2" thickBot="1" x14ac:dyDescent="0.25">
      <c r="A15" s="135"/>
      <c r="B15" s="136"/>
      <c r="C15" s="136"/>
      <c r="D15" s="136"/>
      <c r="E15" s="136"/>
      <c r="F15" s="136"/>
    </row>
    <row r="16" spans="1:6" x14ac:dyDescent="0.2">
      <c r="A16" s="145" t="s">
        <v>102</v>
      </c>
      <c r="B16" s="146"/>
      <c r="C16" s="146"/>
      <c r="D16" s="146"/>
      <c r="E16" s="146"/>
      <c r="F16" s="147"/>
    </row>
    <row r="17" spans="1:6" x14ac:dyDescent="0.2">
      <c r="A17" s="132"/>
      <c r="B17" s="133"/>
      <c r="C17" s="133"/>
      <c r="D17" s="133"/>
      <c r="E17" s="133"/>
      <c r="F17" s="134"/>
    </row>
    <row r="18" spans="1:6" x14ac:dyDescent="0.2">
      <c r="A18" s="132"/>
      <c r="B18" s="133"/>
      <c r="C18" s="133"/>
      <c r="D18" s="133"/>
      <c r="E18" s="133"/>
      <c r="F18" s="134"/>
    </row>
    <row r="19" spans="1:6" ht="13.2" thickBot="1" x14ac:dyDescent="0.25">
      <c r="A19" s="135"/>
      <c r="B19" s="136"/>
      <c r="C19" s="136"/>
      <c r="D19" s="136"/>
      <c r="E19" s="136"/>
      <c r="F19" s="137"/>
    </row>
    <row r="20" spans="1:6" ht="13.2" thickBot="1" x14ac:dyDescent="0.25"/>
    <row r="21" spans="1:6" x14ac:dyDescent="0.2">
      <c r="A21" s="93" t="s">
        <v>0</v>
      </c>
      <c r="B21" s="138"/>
      <c r="C21" s="138"/>
      <c r="D21" s="138"/>
      <c r="E21" s="138"/>
      <c r="F21" s="139"/>
    </row>
    <row r="22" spans="1:6" x14ac:dyDescent="0.2">
      <c r="A22" s="94" t="s">
        <v>103</v>
      </c>
      <c r="B22" s="140"/>
      <c r="C22" s="140"/>
      <c r="D22" s="140"/>
      <c r="E22" s="140"/>
      <c r="F22" s="141"/>
    </row>
    <row r="23" spans="1:6" ht="13.2" thickBot="1" x14ac:dyDescent="0.25">
      <c r="A23" s="95" t="s">
        <v>104</v>
      </c>
      <c r="B23" s="142"/>
      <c r="C23" s="142"/>
      <c r="D23" s="142"/>
      <c r="E23" s="142"/>
      <c r="F23" s="143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A12:A14 A11</xm:sqref>
        </x14:dataValidation>
        <x14:dataValidation type="list" allowBlank="1" showInputMessage="1" showErrorMessage="1" xr:uid="{39EE865D-1893-4D91-9C9E-FAFF9DC830A7}">
          <x14:formula1>
            <xm:f>Key!$H$3:$H$80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workbookViewId="0">
      <selection activeCell="H4" sqref="H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132</v>
      </c>
      <c r="D2" s="53" t="s">
        <v>119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120</v>
      </c>
      <c r="D3" s="72" t="s">
        <v>30</v>
      </c>
      <c r="F3" s="55" t="s">
        <v>31</v>
      </c>
      <c r="H3" s="98" t="s">
        <v>228</v>
      </c>
      <c r="J3" s="56" t="s">
        <v>15</v>
      </c>
    </row>
    <row r="4" spans="2:10" x14ac:dyDescent="0.3">
      <c r="B4" s="66" t="s">
        <v>133</v>
      </c>
      <c r="D4" s="54" t="s">
        <v>32</v>
      </c>
      <c r="F4" s="57" t="s">
        <v>33</v>
      </c>
      <c r="H4" s="68" t="s">
        <v>116</v>
      </c>
      <c r="J4" s="58" t="s">
        <v>13</v>
      </c>
    </row>
    <row r="5" spans="2:10" x14ac:dyDescent="0.3">
      <c r="B5" s="66" t="s">
        <v>134</v>
      </c>
      <c r="D5" s="72" t="s">
        <v>35</v>
      </c>
      <c r="F5" s="59" t="s">
        <v>36</v>
      </c>
      <c r="H5" s="99" t="s">
        <v>194</v>
      </c>
    </row>
    <row r="6" spans="2:10" x14ac:dyDescent="0.3">
      <c r="B6" s="66" t="s">
        <v>135</v>
      </c>
      <c r="D6" s="54" t="s">
        <v>38</v>
      </c>
      <c r="F6" s="57" t="s">
        <v>39</v>
      </c>
      <c r="H6" s="100" t="s">
        <v>82</v>
      </c>
    </row>
    <row r="7" spans="2:10" x14ac:dyDescent="0.3">
      <c r="B7" s="66" t="s">
        <v>121</v>
      </c>
      <c r="D7" s="72" t="s">
        <v>40</v>
      </c>
      <c r="F7" s="59" t="s">
        <v>41</v>
      </c>
      <c r="H7" s="68" t="s">
        <v>77</v>
      </c>
    </row>
    <row r="8" spans="2:10" x14ac:dyDescent="0.3">
      <c r="B8" s="66" t="s">
        <v>137</v>
      </c>
      <c r="D8" s="54" t="s">
        <v>43</v>
      </c>
      <c r="F8" s="57" t="s">
        <v>44</v>
      </c>
      <c r="H8" s="98" t="s">
        <v>47</v>
      </c>
      <c r="J8" s="52" t="s">
        <v>131</v>
      </c>
    </row>
    <row r="9" spans="2:10" x14ac:dyDescent="0.3">
      <c r="B9" s="66" t="s">
        <v>138</v>
      </c>
      <c r="D9" s="72" t="s">
        <v>45</v>
      </c>
      <c r="F9" s="59" t="s">
        <v>46</v>
      </c>
      <c r="H9" s="67" t="s">
        <v>12</v>
      </c>
      <c r="J9" s="52" t="s">
        <v>130</v>
      </c>
    </row>
    <row r="10" spans="2:10" x14ac:dyDescent="0.3">
      <c r="B10" s="66" t="s">
        <v>140</v>
      </c>
      <c r="D10" s="54" t="s">
        <v>48</v>
      </c>
      <c r="F10" s="57" t="s">
        <v>49</v>
      </c>
      <c r="H10" s="101" t="s">
        <v>139</v>
      </c>
    </row>
    <row r="11" spans="2:10" x14ac:dyDescent="0.3">
      <c r="B11" s="66" t="s">
        <v>142</v>
      </c>
      <c r="D11" s="72" t="s">
        <v>50</v>
      </c>
      <c r="F11" s="59" t="s">
        <v>51</v>
      </c>
      <c r="H11" s="68" t="s">
        <v>141</v>
      </c>
      <c r="J11" s="52" t="s">
        <v>125</v>
      </c>
    </row>
    <row r="12" spans="2:10" x14ac:dyDescent="0.3">
      <c r="B12" s="66" t="s">
        <v>143</v>
      </c>
      <c r="F12" s="57" t="s">
        <v>52</v>
      </c>
      <c r="H12" s="102" t="s">
        <v>195</v>
      </c>
      <c r="J12" s="52" t="s">
        <v>126</v>
      </c>
    </row>
    <row r="13" spans="2:10" x14ac:dyDescent="0.3">
      <c r="B13" s="66" t="s">
        <v>145</v>
      </c>
      <c r="F13" s="59" t="s">
        <v>53</v>
      </c>
      <c r="H13" s="102" t="s">
        <v>34</v>
      </c>
    </row>
    <row r="14" spans="2:10" x14ac:dyDescent="0.3">
      <c r="B14" s="66" t="s">
        <v>147</v>
      </c>
      <c r="D14" s="60"/>
      <c r="F14" s="57" t="s">
        <v>54</v>
      </c>
      <c r="H14" s="103" t="s">
        <v>144</v>
      </c>
    </row>
    <row r="15" spans="2:10" x14ac:dyDescent="0.3">
      <c r="B15" s="66" t="s">
        <v>122</v>
      </c>
      <c r="D15" s="61"/>
      <c r="F15" s="59" t="s">
        <v>56</v>
      </c>
      <c r="H15" s="102" t="s">
        <v>146</v>
      </c>
    </row>
    <row r="16" spans="2:10" x14ac:dyDescent="0.3">
      <c r="B16" s="66" t="s">
        <v>57</v>
      </c>
      <c r="D16" s="61"/>
      <c r="F16" s="57" t="s">
        <v>58</v>
      </c>
      <c r="H16" s="104" t="s">
        <v>148</v>
      </c>
    </row>
    <row r="17" spans="2:8" ht="27.6" x14ac:dyDescent="0.3">
      <c r="B17" s="66" t="s">
        <v>150</v>
      </c>
      <c r="D17" s="61"/>
      <c r="F17" s="59" t="s">
        <v>59</v>
      </c>
      <c r="H17" s="102" t="s">
        <v>149</v>
      </c>
    </row>
    <row r="18" spans="2:8" x14ac:dyDescent="0.3">
      <c r="B18" s="66" t="s">
        <v>152</v>
      </c>
      <c r="D18" s="61"/>
      <c r="F18" s="57" t="s">
        <v>60</v>
      </c>
      <c r="H18" s="104" t="s">
        <v>61</v>
      </c>
    </row>
    <row r="19" spans="2:8" x14ac:dyDescent="0.3">
      <c r="B19" s="66" t="s">
        <v>154</v>
      </c>
      <c r="D19" s="61"/>
      <c r="F19" s="59" t="s">
        <v>62</v>
      </c>
      <c r="H19" s="105" t="s">
        <v>151</v>
      </c>
    </row>
    <row r="20" spans="2:8" x14ac:dyDescent="0.3">
      <c r="B20" s="66" t="s">
        <v>155</v>
      </c>
      <c r="D20" s="61"/>
      <c r="F20" s="57" t="s">
        <v>63</v>
      </c>
      <c r="H20" s="103" t="s">
        <v>153</v>
      </c>
    </row>
    <row r="21" spans="2:8" x14ac:dyDescent="0.3">
      <c r="B21" s="66" t="s">
        <v>123</v>
      </c>
      <c r="D21" s="61"/>
      <c r="F21" s="59" t="s">
        <v>64</v>
      </c>
      <c r="H21" s="68" t="s">
        <v>112</v>
      </c>
    </row>
    <row r="22" spans="2:8" x14ac:dyDescent="0.3">
      <c r="B22" s="66" t="s">
        <v>156</v>
      </c>
      <c r="D22" s="61"/>
      <c r="F22" s="57" t="s">
        <v>66</v>
      </c>
      <c r="H22" s="106" t="s">
        <v>196</v>
      </c>
    </row>
    <row r="23" spans="2:8" x14ac:dyDescent="0.3">
      <c r="B23" s="66" t="s">
        <v>157</v>
      </c>
      <c r="D23" s="61"/>
      <c r="F23" s="59" t="s">
        <v>68</v>
      </c>
      <c r="H23" s="107" t="s">
        <v>74</v>
      </c>
    </row>
    <row r="24" spans="2:8" x14ac:dyDescent="0.3">
      <c r="B24" s="66" t="s">
        <v>158</v>
      </c>
      <c r="D24" s="61"/>
      <c r="F24" s="57" t="s">
        <v>69</v>
      </c>
      <c r="H24" s="108" t="s">
        <v>197</v>
      </c>
    </row>
    <row r="25" spans="2:8" x14ac:dyDescent="0.3">
      <c r="B25" s="66" t="s">
        <v>159</v>
      </c>
      <c r="D25" s="61"/>
      <c r="F25" s="59" t="s">
        <v>70</v>
      </c>
      <c r="H25" s="109" t="s">
        <v>107</v>
      </c>
    </row>
    <row r="26" spans="2:8" x14ac:dyDescent="0.3">
      <c r="B26" s="66" t="s">
        <v>161</v>
      </c>
      <c r="F26" s="57" t="s">
        <v>71</v>
      </c>
      <c r="H26" s="70" t="s">
        <v>124</v>
      </c>
    </row>
    <row r="27" spans="2:8" x14ac:dyDescent="0.3">
      <c r="B27" s="66" t="s">
        <v>221</v>
      </c>
      <c r="D27" s="61"/>
      <c r="F27" s="59" t="s">
        <v>72</v>
      </c>
      <c r="H27" s="107" t="s">
        <v>113</v>
      </c>
    </row>
    <row r="28" spans="2:8" x14ac:dyDescent="0.3">
      <c r="B28" s="66" t="s">
        <v>162</v>
      </c>
      <c r="D28" s="61"/>
      <c r="F28" s="57" t="s">
        <v>73</v>
      </c>
      <c r="H28" s="70" t="s">
        <v>117</v>
      </c>
    </row>
    <row r="29" spans="2:8" x14ac:dyDescent="0.3">
      <c r="B29" s="66" t="s">
        <v>163</v>
      </c>
      <c r="F29" s="59" t="s">
        <v>75</v>
      </c>
      <c r="H29" s="110" t="s">
        <v>198</v>
      </c>
    </row>
    <row r="30" spans="2:8" x14ac:dyDescent="0.3">
      <c r="B30" s="66" t="s">
        <v>78</v>
      </c>
      <c r="F30" s="57" t="s">
        <v>76</v>
      </c>
      <c r="H30" s="108" t="s">
        <v>199</v>
      </c>
    </row>
    <row r="31" spans="2:8" x14ac:dyDescent="0.3">
      <c r="B31" s="66" t="s">
        <v>165</v>
      </c>
      <c r="F31" s="59" t="s">
        <v>79</v>
      </c>
      <c r="H31" s="111" t="s">
        <v>227</v>
      </c>
    </row>
    <row r="32" spans="2:8" x14ac:dyDescent="0.3">
      <c r="B32" s="66" t="s">
        <v>83</v>
      </c>
      <c r="F32" s="57" t="s">
        <v>80</v>
      </c>
      <c r="H32" s="109" t="s">
        <v>42</v>
      </c>
    </row>
    <row r="33" spans="2:8" x14ac:dyDescent="0.3">
      <c r="B33" s="66" t="s">
        <v>166</v>
      </c>
      <c r="F33" s="59" t="s">
        <v>81</v>
      </c>
      <c r="H33" s="69" t="s">
        <v>160</v>
      </c>
    </row>
    <row r="34" spans="2:8" x14ac:dyDescent="0.3">
      <c r="B34" s="66" t="s">
        <v>168</v>
      </c>
      <c r="F34" s="57" t="s">
        <v>84</v>
      </c>
      <c r="H34" s="69" t="s">
        <v>200</v>
      </c>
    </row>
    <row r="35" spans="2:8" x14ac:dyDescent="0.3">
      <c r="B35" s="66" t="s">
        <v>169</v>
      </c>
      <c r="F35" s="59" t="s">
        <v>85</v>
      </c>
      <c r="H35" s="110" t="s">
        <v>201</v>
      </c>
    </row>
    <row r="36" spans="2:8" x14ac:dyDescent="0.3">
      <c r="B36" s="66" t="s">
        <v>171</v>
      </c>
      <c r="F36" s="57" t="s">
        <v>87</v>
      </c>
      <c r="H36" s="101" t="s">
        <v>202</v>
      </c>
    </row>
    <row r="37" spans="2:8" x14ac:dyDescent="0.3">
      <c r="B37" s="66" t="s">
        <v>172</v>
      </c>
      <c r="F37" s="57" t="s">
        <v>88</v>
      </c>
      <c r="H37" s="69" t="s">
        <v>65</v>
      </c>
    </row>
    <row r="38" spans="2:8" x14ac:dyDescent="0.3">
      <c r="B38" s="66" t="s">
        <v>90</v>
      </c>
      <c r="F38" s="57" t="s">
        <v>89</v>
      </c>
      <c r="H38" s="108" t="s">
        <v>203</v>
      </c>
    </row>
    <row r="39" spans="2:8" x14ac:dyDescent="0.3">
      <c r="B39" s="52" t="s">
        <v>222</v>
      </c>
      <c r="F39" s="57" t="s">
        <v>224</v>
      </c>
      <c r="H39" s="110" t="s">
        <v>204</v>
      </c>
    </row>
    <row r="40" spans="2:8" x14ac:dyDescent="0.3">
      <c r="B40" s="66" t="s">
        <v>114</v>
      </c>
      <c r="F40" s="115" t="s">
        <v>223</v>
      </c>
      <c r="H40" s="111" t="s">
        <v>164</v>
      </c>
    </row>
    <row r="41" spans="2:8" x14ac:dyDescent="0.3">
      <c r="B41" s="66" t="s">
        <v>174</v>
      </c>
      <c r="D41" s="63"/>
      <c r="H41" s="70" t="s">
        <v>127</v>
      </c>
    </row>
    <row r="42" spans="2:8" x14ac:dyDescent="0.3">
      <c r="B42" s="66" t="s">
        <v>175</v>
      </c>
      <c r="H42" s="108" t="s">
        <v>205</v>
      </c>
    </row>
    <row r="43" spans="2:8" x14ac:dyDescent="0.3">
      <c r="B43" s="52" t="s">
        <v>226</v>
      </c>
      <c r="H43" s="110" t="s">
        <v>206</v>
      </c>
    </row>
    <row r="44" spans="2:8" ht="27.6" x14ac:dyDescent="0.3">
      <c r="B44" s="62"/>
      <c r="H44" s="108" t="s">
        <v>207</v>
      </c>
    </row>
    <row r="45" spans="2:8" x14ac:dyDescent="0.3">
      <c r="H45" s="69" t="s">
        <v>181</v>
      </c>
    </row>
    <row r="46" spans="2:8" x14ac:dyDescent="0.3">
      <c r="H46" s="112" t="s">
        <v>208</v>
      </c>
    </row>
    <row r="47" spans="2:8" x14ac:dyDescent="0.3">
      <c r="B47" s="62"/>
      <c r="H47" s="111" t="s">
        <v>167</v>
      </c>
    </row>
    <row r="48" spans="2:8" x14ac:dyDescent="0.3">
      <c r="H48" s="113" t="s">
        <v>209</v>
      </c>
    </row>
    <row r="49" spans="8:8" x14ac:dyDescent="0.3">
      <c r="H49" s="99" t="s">
        <v>210</v>
      </c>
    </row>
    <row r="50" spans="8:8" x14ac:dyDescent="0.3">
      <c r="H50" s="106" t="s">
        <v>211</v>
      </c>
    </row>
    <row r="51" spans="8:8" x14ac:dyDescent="0.3">
      <c r="H51" s="110" t="s">
        <v>212</v>
      </c>
    </row>
    <row r="52" spans="8:8" x14ac:dyDescent="0.3">
      <c r="H52" s="70" t="s">
        <v>170</v>
      </c>
    </row>
    <row r="53" spans="8:8" x14ac:dyDescent="0.3">
      <c r="H53" s="70" t="s">
        <v>225</v>
      </c>
    </row>
    <row r="54" spans="8:8" x14ac:dyDescent="0.3">
      <c r="H54" s="111" t="s">
        <v>37</v>
      </c>
    </row>
    <row r="55" spans="8:8" x14ac:dyDescent="0.3">
      <c r="H55" s="70" t="s">
        <v>173</v>
      </c>
    </row>
    <row r="56" spans="8:8" x14ac:dyDescent="0.3">
      <c r="H56" s="111" t="s">
        <v>128</v>
      </c>
    </row>
    <row r="57" spans="8:8" x14ac:dyDescent="0.3">
      <c r="H57" s="70" t="s">
        <v>55</v>
      </c>
    </row>
    <row r="58" spans="8:8" x14ac:dyDescent="0.3">
      <c r="H58" s="111" t="s">
        <v>105</v>
      </c>
    </row>
    <row r="59" spans="8:8" x14ac:dyDescent="0.3">
      <c r="H59" s="69" t="s">
        <v>67</v>
      </c>
    </row>
    <row r="60" spans="8:8" x14ac:dyDescent="0.3">
      <c r="H60" s="111" t="s">
        <v>115</v>
      </c>
    </row>
    <row r="61" spans="8:8" x14ac:dyDescent="0.3">
      <c r="H61" s="69" t="s">
        <v>86</v>
      </c>
    </row>
    <row r="62" spans="8:8" x14ac:dyDescent="0.3">
      <c r="H62" s="110" t="s">
        <v>213</v>
      </c>
    </row>
    <row r="63" spans="8:8" x14ac:dyDescent="0.3">
      <c r="H63" s="108" t="s">
        <v>214</v>
      </c>
    </row>
    <row r="64" spans="8:8" x14ac:dyDescent="0.3">
      <c r="H64" s="70" t="s">
        <v>215</v>
      </c>
    </row>
    <row r="65" spans="8:8" x14ac:dyDescent="0.3">
      <c r="H65" s="111" t="s">
        <v>176</v>
      </c>
    </row>
    <row r="66" spans="8:8" x14ac:dyDescent="0.3">
      <c r="H66" s="110" t="s">
        <v>216</v>
      </c>
    </row>
    <row r="67" spans="8:8" x14ac:dyDescent="0.3">
      <c r="H67" s="108" t="s">
        <v>217</v>
      </c>
    </row>
    <row r="68" spans="8:8" x14ac:dyDescent="0.3">
      <c r="H68" s="70" t="s">
        <v>218</v>
      </c>
    </row>
    <row r="69" spans="8:8" x14ac:dyDescent="0.3">
      <c r="H69" s="70" t="s">
        <v>177</v>
      </c>
    </row>
    <row r="70" spans="8:8" x14ac:dyDescent="0.3">
      <c r="H70" s="111" t="s">
        <v>178</v>
      </c>
    </row>
    <row r="71" spans="8:8" x14ac:dyDescent="0.3">
      <c r="H71" s="114" t="s">
        <v>193</v>
      </c>
    </row>
    <row r="72" spans="8:8" x14ac:dyDescent="0.3">
      <c r="H72" s="69" t="s">
        <v>129</v>
      </c>
    </row>
    <row r="73" spans="8:8" x14ac:dyDescent="0.3">
      <c r="H73" s="109" t="s">
        <v>179</v>
      </c>
    </row>
    <row r="74" spans="8:8" x14ac:dyDescent="0.3">
      <c r="H74" s="69" t="s">
        <v>180</v>
      </c>
    </row>
    <row r="75" spans="8:8" x14ac:dyDescent="0.3">
      <c r="H75" s="109" t="s">
        <v>91</v>
      </c>
    </row>
    <row r="76" spans="8:8" x14ac:dyDescent="0.3">
      <c r="H76" s="70" t="s">
        <v>219</v>
      </c>
    </row>
    <row r="77" spans="8:8" x14ac:dyDescent="0.3">
      <c r="H77" s="71" t="s">
        <v>220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237CC7-571C-424E-98D0-A6D854FCD4A2}"/>
</file>

<file path=customXml/itemProps2.xml><?xml version="1.0" encoding="utf-8"?>
<ds:datastoreItem xmlns:ds="http://schemas.openxmlformats.org/officeDocument/2006/customXml" ds:itemID="{EF9ADBEE-CE14-4AD5-B846-618264F5C11D}"/>
</file>

<file path=customXml/itemProps3.xml><?xml version="1.0" encoding="utf-8"?>
<ds:datastoreItem xmlns:ds="http://schemas.openxmlformats.org/officeDocument/2006/customXml" ds:itemID="{4B75BA6D-7F73-4EF9-A999-8384A4D1B9F0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Oct</vt:lpstr>
      <vt:lpstr>Nov</vt:lpstr>
      <vt:lpstr>Dec</vt:lpstr>
      <vt:lpstr>Jan</vt:lpstr>
      <vt:lpstr>Feb</vt:lpstr>
      <vt:lpstr>Mar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Kayden Padayachee</cp:lastModifiedBy>
  <dcterms:created xsi:type="dcterms:W3CDTF">2020-04-02T09:04:10Z</dcterms:created>
  <dcterms:modified xsi:type="dcterms:W3CDTF">2026-03-31T15:27:28Z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