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88DC128A-623C-493F-B78D-44B04C8DDD9A}" xr6:coauthVersionLast="47" xr6:coauthVersionMax="47" xr10:uidLastSave="{00000000-0000-0000-0000-000000000000}"/>
  <bookViews>
    <workbookView xWindow="2808" yWindow="4008" windowWidth="17280" windowHeight="8880" xr2:uid="{C70E39B9-2E6C-423F-8D9F-A9DB89085A3A}"/>
  </bookViews>
  <sheets>
    <sheet name="Apr" sheetId="1" r:id="rId1"/>
  </sheets>
  <definedNames>
    <definedName name="_xlnm.Print_Area" localSheetId="0">Apr!$A$1:$M$145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1" i="1" l="1"/>
  <c r="F140" i="1"/>
  <c r="H135" i="1"/>
  <c r="H115" i="1"/>
  <c r="H114" i="1"/>
  <c r="H113" i="1"/>
  <c r="H112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6" i="1"/>
  <c r="H75" i="1"/>
  <c r="H74" i="1"/>
  <c r="H73" i="1"/>
  <c r="H72" i="1"/>
  <c r="H71" i="1"/>
  <c r="H70" i="1"/>
  <c r="H69" i="1"/>
  <c r="H68" i="1"/>
  <c r="H67" i="1"/>
  <c r="H66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35" i="1"/>
  <c r="H23" i="1"/>
  <c r="H22" i="1"/>
  <c r="H21" i="1"/>
  <c r="H20" i="1"/>
  <c r="H19" i="1"/>
  <c r="H18" i="1"/>
  <c r="F142" i="1" l="1"/>
  <c r="B6" i="1"/>
</calcChain>
</file>

<file path=xl/sharedStrings.xml><?xml version="1.0" encoding="utf-8"?>
<sst xmlns="http://schemas.openxmlformats.org/spreadsheetml/2006/main" count="622" uniqueCount="57">
  <si>
    <t>Consultant</t>
  </si>
  <si>
    <t xml:space="preserve">Charmane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</si>
  <si>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</si>
  <si>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</si>
  <si>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</si>
  <si>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</si>
  <si>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</si>
  <si>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</si>
  <si>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</si>
  <si>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</si>
  <si>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</si>
  <si>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</si>
  <si>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</si>
  <si>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</si>
  <si>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</si>
  <si>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</si>
  <si>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</si>
  <si>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High Performer Daily Stand up</t>
  </si>
  <si>
    <t>Research</t>
  </si>
  <si>
    <t>Udemy - Excel for Beginners</t>
  </si>
  <si>
    <t>Midday Check in</t>
  </si>
  <si>
    <t>High Performers Retrospective</t>
  </si>
  <si>
    <t>Thursday</t>
  </si>
  <si>
    <t>Udemy - Python for Beginners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</si>
  <si>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</si>
  <si>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</si>
  <si>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</si>
  <si>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</si>
  <si>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</si>
  <si>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</si>
  <si>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</si>
  <si>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</si>
  <si>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Udemy - Python For Beginners</t>
  </si>
  <si>
    <t>API Architecture</t>
  </si>
  <si>
    <t>Udemy - Github Actions</t>
  </si>
  <si>
    <t>Travel</t>
  </si>
  <si>
    <t>To sambe event</t>
  </si>
  <si>
    <t>Events</t>
  </si>
  <si>
    <t>Early Dinners and Drinks event</t>
  </si>
  <si>
    <t>High Performers Daily Stand up</t>
  </si>
  <si>
    <t>Project Management</t>
  </si>
  <si>
    <t>Sales Data Analysis Project</t>
  </si>
  <si>
    <t>Shaila &amp; Grad Monthly Check in</t>
  </si>
  <si>
    <t>One on one with Bongani</t>
  </si>
  <si>
    <t>Udemy : Github Actions</t>
  </si>
  <si>
    <t xml:space="preserve">Freedom Day </t>
  </si>
  <si>
    <t>Team Project Prep</t>
  </si>
  <si>
    <t>Udemy : Microsoft SQL</t>
  </si>
  <si>
    <t>Sales Data Analysis Project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</si>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</sst>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1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9"/>
      <name val="Tw Cen MT"/>
      <family val="2"/>
      <scheme val="minor"/>
    </font>
    <font>
      <sz val="10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4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165" fontId="3" fillId="0" borderId="4" xfId="0" applyNumberFormat="1" applyFont="1" applyBorder="1"/>
    <xf numFmtId="165" fontId="3" fillId="0" borderId="4" xfId="0" applyNumberFormat="1" applyFont="1" applyBorder="1" applyAlignment="1">
      <alignment wrapText="1"/>
    </xf>
    <xf numFmtId="14" fontId="3" fillId="4" borderId="4" xfId="0" applyNumberFormat="1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165" fontId="3" fillId="4" borderId="4" xfId="0" applyNumberFormat="1" applyFont="1" applyFill="1" applyBorder="1"/>
    <xf numFmtId="165" fontId="3" fillId="4" borderId="4" xfId="0" applyNumberFormat="1" applyFont="1" applyFill="1" applyBorder="1" applyAlignment="1">
      <alignment wrapText="1"/>
    </xf>
    <xf numFmtId="14" fontId="3" fillId="5" borderId="4" xfId="0" applyNumberFormat="1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wrapText="1"/>
    </xf>
    <xf numFmtId="165" fontId="3" fillId="5" borderId="4" xfId="0" applyNumberFormat="1" applyFont="1" applyFill="1" applyBorder="1"/>
    <xf numFmtId="165" fontId="3" fillId="5" borderId="4" xfId="0" applyNumberFormat="1" applyFont="1" applyFill="1" applyBorder="1" applyAlignment="1">
      <alignment wrapText="1"/>
    </xf>
    <xf numFmtId="165" fontId="3" fillId="0" borderId="0" xfId="0" applyNumberFormat="1" applyFont="1"/>
    <xf numFmtId="165" fontId="3" fillId="0" borderId="0" xfId="0" applyNumberFormat="1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5" xfId="0" applyFont="1" applyBorder="1"/>
    <xf numFmtId="0" fontId="7" fillId="0" borderId="6" xfId="0" applyFont="1" applyBorder="1" applyAlignment="1">
      <alignment horizontal="right" wrapText="1"/>
    </xf>
    <xf numFmtId="20" fontId="5" fillId="0" borderId="0" xfId="0" applyNumberFormat="1" applyFont="1"/>
    <xf numFmtId="0" fontId="6" fillId="0" borderId="0" xfId="0" applyFont="1"/>
    <xf numFmtId="0" fontId="6" fillId="0" borderId="7" xfId="0" applyFont="1" applyBorder="1"/>
    <xf numFmtId="0" fontId="6" fillId="0" borderId="8" xfId="0" applyFont="1" applyBorder="1" applyAlignment="1">
      <alignment horizontal="right" wrapText="1"/>
    </xf>
    <xf numFmtId="49" fontId="8" fillId="0" borderId="9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1" fillId="0" borderId="5" xfId="0" applyFont="1" applyBorder="1"/>
    <xf numFmtId="164" fontId="6" fillId="0" borderId="6" xfId="0" applyNumberFormat="1" applyFont="1" applyBorder="1" applyAlignment="1">
      <alignment horizontal="right" wrapText="1"/>
    </xf>
    <xf numFmtId="164" fontId="3" fillId="0" borderId="0" xfId="0" applyNumberFormat="1" applyFont="1"/>
    <xf numFmtId="0" fontId="8" fillId="0" borderId="9" xfId="0" applyFont="1" applyBorder="1" applyAlignment="1">
      <alignment horizontal="left" vertical="top" wrapText="1"/>
    </xf>
    <xf numFmtId="49" fontId="10" fillId="0" borderId="10" xfId="0" applyNumberFormat="1" applyFont="1" applyBorder="1" applyAlignment="1">
      <alignment vertical="top"/>
    </xf>
    <xf numFmtId="0" fontId="1" fillId="0" borderId="11" xfId="0" applyFont="1" applyBorder="1"/>
    <xf numFmtId="164" fontId="6" fillId="0" borderId="10" xfId="0" applyNumberFormat="1" applyFont="1" applyBorder="1" applyAlignment="1">
      <alignment horizontal="right" wrapText="1"/>
    </xf>
    <xf numFmtId="0" fontId="1" fillId="0" borderId="12" xfId="0" applyFont="1" applyBorder="1"/>
    <xf numFmtId="164" fontId="6" fillId="0" borderId="13" xfId="0" applyNumberFormat="1" applyFont="1" applyBorder="1" applyAlignment="1">
      <alignment wrapText="1"/>
    </xf>
    <xf numFmtId="0" fontId="11" fillId="0" borderId="14" xfId="0" applyFont="1" applyBorder="1" applyAlignment="1">
      <alignment horizontal="left"/>
    </xf>
    <xf numFmtId="0" fontId="6" fillId="0" borderId="15" xfId="0" applyFont="1" applyBorder="1" applyAlignment="1">
      <alignment wrapText="1"/>
    </xf>
    <xf numFmtId="0" fontId="3" fillId="0" borderId="15" xfId="0" applyFont="1" applyBorder="1" applyAlignment="1">
      <alignment wrapText="1"/>
    </xf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7FD33-BB20-4962-9A8D-D502E594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2348" cy="573192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BBA5-61F2-44F3-91B6-92CA45833E74}">
  <dimension ref="A5:J145"/>
  <sheetViews>
    <sheetView tabSelected="1" view="pageBreakPreview" topLeftCell="A100" zoomScale="75" zoomScaleNormal="75" zoomScaleSheetLayoutView="75" workbookViewId="0">
      <selection activeCell="K134" sqref="K134"/>
    </sheetView>
  </sheetViews>
  <sheetFormatPr defaultColWidth="8.69921875" defaultRowHeight="12.6" x14ac:dyDescent="0.2"/>
  <cols>
    <col min="1" max="1" width="12" style="2" customWidth="1"/>
    <col min="2" max="2" width="13.09765625" style="2" customWidth="1"/>
    <col min="3" max="3" width="16.19921875" style="2" customWidth="1"/>
    <col min="4" max="5" width="20" style="2" customWidth="1"/>
    <col min="6" max="6" width="23.09765625" style="2" customWidth="1"/>
    <col min="7" max="7" width="34" style="2" customWidth="1"/>
    <col min="8" max="16384" width="8.69921875" style="2"/>
  </cols>
  <sheetData>
    <row r="5" spans="1:10" x14ac:dyDescent="0.2">
      <c r="A5" s="1" t="s">
        <v>0</v>
      </c>
      <c r="B5" s="2" t="s">
        <v>1</v>
      </c>
      <c r="H5" s="3"/>
    </row>
    <row r="6" spans="1:10" x14ac:dyDescent="0.2">
      <c r="A6" s="1" t="s">
        <v>2</v>
      </c>
      <c r="B6" s="4">
        <f>F140</f>
        <v>0</v>
      </c>
      <c r="C6" s="1"/>
      <c r="H6" s="3"/>
      <c r="J6" s="5"/>
    </row>
    <row r="7" spans="1:10" x14ac:dyDescent="0.2">
      <c r="A7" s="1"/>
      <c r="B7" s="6"/>
      <c r="C7" s="1"/>
      <c r="D7" s="1"/>
      <c r="E7" s="1"/>
      <c r="H7" s="3"/>
      <c r="J7" s="5"/>
    </row>
    <row r="8" spans="1:10" ht="25.2" x14ac:dyDescent="0.2">
      <c r="A8" s="7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9" t="s">
        <v>9</v>
      </c>
      <c r="H8" s="10" t="s">
        <v>10</v>
      </c>
      <c r="I8" s="10" t="s">
        <v>11</v>
      </c>
      <c r="J8" s="11" t="s">
        <v>12</v>
      </c>
    </row>
    <row r="9" spans="1:10" x14ac:dyDescent="0.2">
      <c r="A9" s="12">
        <v>46113</v>
      </c>
      <c r="B9" s="12" t="s">
        <v>13</v>
      </c>
      <c r="C9" s="13" t="s">
        <v>14</v>
      </c>
      <c r="D9" s="13"/>
      <c r="E9" s="13" t="s">
        <v>15</v>
      </c>
      <c r="F9" s="13" t="s">
        <v>16</v>
      </c>
      <c r="G9" s="14" t="s">
        <v>17</v>
      </c>
      <c r="H9" s="15">
        <v>6.9444444444444441E-3</v>
      </c>
      <c r="I9" s="16">
        <v>0.33333333333333331</v>
      </c>
      <c r="J9" s="16">
        <v>0.34027777777777779</v>
      </c>
    </row>
    <row r="10" spans="1:10" x14ac:dyDescent="0.2">
      <c r="A10" s="12">
        <v>46113</v>
      </c>
      <c r="B10" s="12" t="s">
        <v>13</v>
      </c>
      <c r="C10" s="13" t="s">
        <v>14</v>
      </c>
      <c r="D10" s="13"/>
      <c r="E10" s="13" t="s">
        <v>18</v>
      </c>
      <c r="F10" s="13" t="s">
        <v>16</v>
      </c>
      <c r="G10" s="14" t="s">
        <v>19</v>
      </c>
      <c r="H10" s="15">
        <v>0.11805555555555555</v>
      </c>
      <c r="I10" s="16">
        <v>0.34027777777777779</v>
      </c>
      <c r="J10" s="16">
        <v>0.45833333333333331</v>
      </c>
    </row>
    <row r="11" spans="1:10" x14ac:dyDescent="0.2">
      <c r="A11" s="12">
        <v>46113</v>
      </c>
      <c r="B11" s="12" t="s">
        <v>13</v>
      </c>
      <c r="C11" s="13" t="s">
        <v>14</v>
      </c>
      <c r="D11" s="13"/>
      <c r="E11" s="13" t="s">
        <v>15</v>
      </c>
      <c r="F11" s="13" t="s">
        <v>16</v>
      </c>
      <c r="G11" s="14" t="s">
        <v>20</v>
      </c>
      <c r="H11" s="15">
        <v>4.1666666666666664E-2</v>
      </c>
      <c r="I11" s="16">
        <v>0.45833333333333331</v>
      </c>
      <c r="J11" s="16">
        <v>0.5</v>
      </c>
    </row>
    <row r="12" spans="1:10" x14ac:dyDescent="0.2">
      <c r="A12" s="12">
        <v>46113</v>
      </c>
      <c r="B12" s="12" t="s">
        <v>13</v>
      </c>
      <c r="C12" s="13" t="s">
        <v>14</v>
      </c>
      <c r="D12" s="13"/>
      <c r="E12" s="13" t="s">
        <v>18</v>
      </c>
      <c r="F12" s="13" t="s">
        <v>16</v>
      </c>
      <c r="G12" s="14" t="s">
        <v>19</v>
      </c>
      <c r="H12" s="15">
        <v>0.125</v>
      </c>
      <c r="I12" s="16">
        <v>0.54166666666666663</v>
      </c>
      <c r="J12" s="16">
        <v>0.66666666666666663</v>
      </c>
    </row>
    <row r="13" spans="1:10" x14ac:dyDescent="0.2">
      <c r="A13" s="12">
        <v>46113</v>
      </c>
      <c r="B13" s="12" t="s">
        <v>13</v>
      </c>
      <c r="C13" s="13" t="s">
        <v>14</v>
      </c>
      <c r="D13" s="13"/>
      <c r="E13" s="13" t="s">
        <v>15</v>
      </c>
      <c r="F13" s="13" t="s">
        <v>16</v>
      </c>
      <c r="G13" s="14" t="s">
        <v>21</v>
      </c>
      <c r="H13" s="15">
        <v>8.3333333333333329E-2</v>
      </c>
      <c r="I13" s="16">
        <v>0.66666666666666663</v>
      </c>
      <c r="J13" s="16">
        <v>0.75</v>
      </c>
    </row>
    <row r="14" spans="1:10" x14ac:dyDescent="0.2">
      <c r="A14" s="12">
        <v>46114</v>
      </c>
      <c r="B14" s="12" t="s">
        <v>22</v>
      </c>
      <c r="C14" s="13" t="s">
        <v>14</v>
      </c>
      <c r="D14" s="13"/>
      <c r="E14" s="13" t="s">
        <v>15</v>
      </c>
      <c r="F14" s="13" t="s">
        <v>16</v>
      </c>
      <c r="G14" s="14" t="s">
        <v>17</v>
      </c>
      <c r="H14" s="15">
        <v>6.9444444444444441E-3</v>
      </c>
      <c r="I14" s="16">
        <v>0.33333333333333331</v>
      </c>
      <c r="J14" s="16">
        <v>0.34027777777777779</v>
      </c>
    </row>
    <row r="15" spans="1:10" x14ac:dyDescent="0.2">
      <c r="A15" s="12">
        <v>46114</v>
      </c>
      <c r="B15" s="12" t="s">
        <v>22</v>
      </c>
      <c r="C15" s="13" t="s">
        <v>14</v>
      </c>
      <c r="D15" s="13"/>
      <c r="E15" s="13" t="s">
        <v>18</v>
      </c>
      <c r="F15" s="13" t="s">
        <v>16</v>
      </c>
      <c r="G15" s="14" t="s">
        <v>23</v>
      </c>
      <c r="H15" s="15">
        <v>0.11805555555555555</v>
      </c>
      <c r="I15" s="16">
        <v>0.34027777777777779</v>
      </c>
      <c r="J15" s="16">
        <v>0.45833333333333331</v>
      </c>
    </row>
    <row r="16" spans="1:10" x14ac:dyDescent="0.2">
      <c r="A16" s="12">
        <v>46114</v>
      </c>
      <c r="B16" s="12" t="s">
        <v>22</v>
      </c>
      <c r="C16" s="13" t="s">
        <v>14</v>
      </c>
      <c r="D16" s="13"/>
      <c r="E16" s="13" t="s">
        <v>15</v>
      </c>
      <c r="F16" s="13" t="s">
        <v>16</v>
      </c>
      <c r="G16" s="14" t="s">
        <v>20</v>
      </c>
      <c r="H16" s="15">
        <v>4.1666666666666664E-2</v>
      </c>
      <c r="I16" s="16">
        <v>0.45833333333333331</v>
      </c>
      <c r="J16" s="16">
        <v>0.5</v>
      </c>
    </row>
    <row r="17" spans="1:10" x14ac:dyDescent="0.2">
      <c r="A17" s="12">
        <v>46114</v>
      </c>
      <c r="B17" s="12" t="s">
        <v>22</v>
      </c>
      <c r="C17" s="13" t="s">
        <v>14</v>
      </c>
      <c r="D17" s="13"/>
      <c r="E17" s="13" t="s">
        <v>18</v>
      </c>
      <c r="F17" s="13" t="s">
        <v>16</v>
      </c>
      <c r="G17" s="14" t="s">
        <v>23</v>
      </c>
      <c r="H17" s="15">
        <v>0.125</v>
      </c>
      <c r="I17" s="16">
        <v>0.54166666666666663</v>
      </c>
      <c r="J17" s="16">
        <v>0.66666666666666663</v>
      </c>
    </row>
    <row r="18" spans="1:10" x14ac:dyDescent="0.2">
      <c r="A18" s="12">
        <v>46114</v>
      </c>
      <c r="B18" s="12" t="s">
        <v>22</v>
      </c>
      <c r="C18" s="13" t="s">
        <v>14</v>
      </c>
      <c r="D18" s="13"/>
      <c r="E18" s="13" t="s">
        <v>15</v>
      </c>
      <c r="F18" s="13" t="s">
        <v>16</v>
      </c>
      <c r="G18" s="14" t="s">
        <v>21</v>
      </c>
      <c r="H18" s="15">
        <f t="shared" ref="H18:H135" si="0">J18-I18</f>
        <v>4.1666666666666741E-2</v>
      </c>
      <c r="I18" s="16">
        <v>0.66666666666666663</v>
      </c>
      <c r="J18" s="16">
        <v>0.70833333333333337</v>
      </c>
    </row>
    <row r="19" spans="1:10" x14ac:dyDescent="0.2">
      <c r="A19" s="17">
        <v>46115</v>
      </c>
      <c r="B19" s="17" t="s">
        <v>24</v>
      </c>
      <c r="C19" s="18" t="s">
        <v>14</v>
      </c>
      <c r="D19" s="18"/>
      <c r="E19" s="18" t="s">
        <v>25</v>
      </c>
      <c r="F19" s="18" t="s">
        <v>16</v>
      </c>
      <c r="G19" s="19" t="s">
        <v>26</v>
      </c>
      <c r="H19" s="20">
        <f t="shared" si="0"/>
        <v>0.33333333333333331</v>
      </c>
      <c r="I19" s="21">
        <v>0.33333333333333331</v>
      </c>
      <c r="J19" s="21">
        <v>0.66666666666666663</v>
      </c>
    </row>
    <row r="20" spans="1:10" x14ac:dyDescent="0.2">
      <c r="A20" s="22">
        <v>46116</v>
      </c>
      <c r="B20" s="22" t="s">
        <v>27</v>
      </c>
      <c r="C20" s="23"/>
      <c r="D20" s="23"/>
      <c r="E20" s="23"/>
      <c r="F20" s="23"/>
      <c r="G20" s="24"/>
      <c r="H20" s="25">
        <f t="shared" si="0"/>
        <v>0</v>
      </c>
      <c r="I20" s="26"/>
      <c r="J20" s="26"/>
    </row>
    <row r="21" spans="1:10" x14ac:dyDescent="0.2">
      <c r="A21" s="22">
        <v>46117</v>
      </c>
      <c r="B21" s="22" t="s">
        <v>28</v>
      </c>
      <c r="C21" s="23"/>
      <c r="D21" s="23"/>
      <c r="E21" s="23"/>
      <c r="F21" s="23"/>
      <c r="G21" s="24"/>
      <c r="H21" s="25">
        <f t="shared" si="0"/>
        <v>0</v>
      </c>
      <c r="I21" s="26"/>
      <c r="J21" s="26"/>
    </row>
    <row r="22" spans="1:10" x14ac:dyDescent="0.2">
      <c r="A22" s="17">
        <v>46118</v>
      </c>
      <c r="B22" s="17" t="s">
        <v>29</v>
      </c>
      <c r="C22" s="18" t="s">
        <v>14</v>
      </c>
      <c r="D22" s="18"/>
      <c r="E22" s="18" t="s">
        <v>25</v>
      </c>
      <c r="F22" s="18" t="s">
        <v>16</v>
      </c>
      <c r="G22" s="19" t="s">
        <v>30</v>
      </c>
      <c r="H22" s="20">
        <f t="shared" si="0"/>
        <v>0.33333333333333331</v>
      </c>
      <c r="I22" s="21">
        <v>0.33333333333333331</v>
      </c>
      <c r="J22" s="21">
        <v>0.66666666666666663</v>
      </c>
    </row>
    <row r="23" spans="1:10" x14ac:dyDescent="0.2">
      <c r="A23" s="12">
        <v>46119</v>
      </c>
      <c r="B23" s="12" t="s">
        <v>31</v>
      </c>
      <c r="C23" s="13" t="s">
        <v>14</v>
      </c>
      <c r="D23" s="13"/>
      <c r="E23" s="13" t="s">
        <v>15</v>
      </c>
      <c r="F23" s="13" t="s">
        <v>16</v>
      </c>
      <c r="G23" s="14" t="s">
        <v>17</v>
      </c>
      <c r="H23" s="15">
        <f t="shared" si="0"/>
        <v>6.9444444444444753E-3</v>
      </c>
      <c r="I23" s="16">
        <v>0.33333333333333331</v>
      </c>
      <c r="J23" s="16">
        <v>0.34027777777777779</v>
      </c>
    </row>
    <row r="24" spans="1:10" x14ac:dyDescent="0.2">
      <c r="A24" s="12">
        <v>46119</v>
      </c>
      <c r="B24" s="12" t="s">
        <v>31</v>
      </c>
      <c r="C24" s="13" t="s">
        <v>14</v>
      </c>
      <c r="D24" s="13"/>
      <c r="E24" s="13" t="s">
        <v>18</v>
      </c>
      <c r="F24" s="13" t="s">
        <v>16</v>
      </c>
      <c r="G24" s="14" t="s">
        <v>32</v>
      </c>
      <c r="H24" s="15">
        <v>0.11805555555555555</v>
      </c>
      <c r="I24" s="16">
        <v>0.34027777777777779</v>
      </c>
      <c r="J24" s="16">
        <v>0.45833333333333331</v>
      </c>
    </row>
    <row r="25" spans="1:10" x14ac:dyDescent="0.2">
      <c r="A25" s="12">
        <v>46119</v>
      </c>
      <c r="B25" s="12" t="s">
        <v>31</v>
      </c>
      <c r="C25" s="13" t="s">
        <v>14</v>
      </c>
      <c r="D25" s="13"/>
      <c r="E25" s="13" t="s">
        <v>15</v>
      </c>
      <c r="F25" s="13" t="s">
        <v>16</v>
      </c>
      <c r="G25" s="14" t="s">
        <v>20</v>
      </c>
      <c r="H25" s="15">
        <v>4.1666666666666664E-2</v>
      </c>
      <c r="I25" s="16">
        <v>0.45833333333333331</v>
      </c>
      <c r="J25" s="16">
        <v>0.5</v>
      </c>
    </row>
    <row r="26" spans="1:10" x14ac:dyDescent="0.2">
      <c r="A26" s="12">
        <v>46119</v>
      </c>
      <c r="B26" s="12" t="s">
        <v>31</v>
      </c>
      <c r="C26" s="13" t="s">
        <v>14</v>
      </c>
      <c r="D26" s="13"/>
      <c r="E26" s="13" t="s">
        <v>18</v>
      </c>
      <c r="F26" s="13" t="s">
        <v>16</v>
      </c>
      <c r="G26" s="14" t="s">
        <v>32</v>
      </c>
      <c r="H26" s="15">
        <v>0.125</v>
      </c>
      <c r="I26" s="16">
        <v>0.54166666666666663</v>
      </c>
      <c r="J26" s="16">
        <v>0.66666666666666663</v>
      </c>
    </row>
    <row r="27" spans="1:10" x14ac:dyDescent="0.2">
      <c r="A27" s="12">
        <v>46119</v>
      </c>
      <c r="B27" s="12" t="s">
        <v>31</v>
      </c>
      <c r="C27" s="13" t="s">
        <v>14</v>
      </c>
      <c r="D27" s="13"/>
      <c r="E27" s="13" t="s">
        <v>15</v>
      </c>
      <c r="F27" s="13" t="s">
        <v>16</v>
      </c>
      <c r="G27" s="14" t="s">
        <v>21</v>
      </c>
      <c r="H27" s="15">
        <v>4.1666666666666664E-2</v>
      </c>
      <c r="I27" s="16">
        <v>0.66666666666666663</v>
      </c>
      <c r="J27" s="16">
        <v>0.70833333333333337</v>
      </c>
    </row>
    <row r="28" spans="1:10" x14ac:dyDescent="0.2">
      <c r="A28" s="12">
        <v>46120</v>
      </c>
      <c r="B28" s="12" t="s">
        <v>13</v>
      </c>
      <c r="C28" s="13" t="s">
        <v>14</v>
      </c>
      <c r="D28" s="13"/>
      <c r="E28" s="13" t="s">
        <v>15</v>
      </c>
      <c r="F28" s="13" t="s">
        <v>16</v>
      </c>
      <c r="G28" s="14" t="s">
        <v>17</v>
      </c>
      <c r="H28" s="15">
        <v>1.1574074074074075E-4</v>
      </c>
      <c r="I28" s="16">
        <v>0.33333333333333331</v>
      </c>
      <c r="J28" s="16">
        <v>0.34027777777777779</v>
      </c>
    </row>
    <row r="29" spans="1:10" x14ac:dyDescent="0.2">
      <c r="A29" s="12">
        <v>46120</v>
      </c>
      <c r="B29" s="12" t="s">
        <v>13</v>
      </c>
      <c r="C29" s="13" t="s">
        <v>14</v>
      </c>
      <c r="D29" s="13"/>
      <c r="E29" s="13" t="s">
        <v>18</v>
      </c>
      <c r="F29" s="13" t="s">
        <v>16</v>
      </c>
      <c r="G29" s="14" t="s">
        <v>32</v>
      </c>
      <c r="H29" s="15">
        <v>0.11805555555555555</v>
      </c>
      <c r="I29" s="16">
        <v>0.34027777777777779</v>
      </c>
      <c r="J29" s="16">
        <v>0.45833333333333331</v>
      </c>
    </row>
    <row r="30" spans="1:10" x14ac:dyDescent="0.2">
      <c r="A30" s="12">
        <v>46120</v>
      </c>
      <c r="B30" s="12" t="s">
        <v>13</v>
      </c>
      <c r="C30" s="13" t="s">
        <v>14</v>
      </c>
      <c r="D30" s="13"/>
      <c r="E30" s="13" t="s">
        <v>15</v>
      </c>
      <c r="F30" s="13" t="s">
        <v>16</v>
      </c>
      <c r="G30" s="14" t="s">
        <v>20</v>
      </c>
      <c r="H30" s="15">
        <v>4.1666666666666664E-2</v>
      </c>
      <c r="I30" s="16">
        <v>0.45833333333333331</v>
      </c>
      <c r="J30" s="16">
        <v>0.5</v>
      </c>
    </row>
    <row r="31" spans="1:10" x14ac:dyDescent="0.2">
      <c r="A31" s="12">
        <v>46120</v>
      </c>
      <c r="B31" s="12" t="s">
        <v>13</v>
      </c>
      <c r="C31" s="13" t="s">
        <v>14</v>
      </c>
      <c r="D31" s="13"/>
      <c r="E31" s="13" t="s">
        <v>18</v>
      </c>
      <c r="F31" s="13" t="s">
        <v>16</v>
      </c>
      <c r="G31" s="14" t="s">
        <v>32</v>
      </c>
      <c r="H31" s="15">
        <v>0.125</v>
      </c>
      <c r="I31" s="16">
        <v>0.54166666666666663</v>
      </c>
      <c r="J31" s="16">
        <v>0.66666666666666663</v>
      </c>
    </row>
    <row r="32" spans="1:10" x14ac:dyDescent="0.2">
      <c r="A32" s="12">
        <v>46120</v>
      </c>
      <c r="B32" s="12" t="s">
        <v>13</v>
      </c>
      <c r="C32" s="13" t="s">
        <v>14</v>
      </c>
      <c r="D32" s="13"/>
      <c r="E32" s="13" t="s">
        <v>15</v>
      </c>
      <c r="F32" s="13" t="s">
        <v>16</v>
      </c>
      <c r="G32" s="14" t="s">
        <v>21</v>
      </c>
      <c r="H32" s="15">
        <v>4.1666666666666664E-2</v>
      </c>
      <c r="I32" s="16">
        <v>0.66666666666666663</v>
      </c>
      <c r="J32" s="16">
        <v>0.70833333333333337</v>
      </c>
    </row>
    <row r="33" spans="1:10" x14ac:dyDescent="0.2">
      <c r="A33" s="12">
        <v>46121</v>
      </c>
      <c r="B33" s="12" t="s">
        <v>22</v>
      </c>
      <c r="C33" s="13" t="s">
        <v>14</v>
      </c>
      <c r="D33" s="13"/>
      <c r="E33" s="13" t="s">
        <v>15</v>
      </c>
      <c r="F33" s="13" t="s">
        <v>16</v>
      </c>
      <c r="G33" s="14" t="s">
        <v>17</v>
      </c>
      <c r="H33" s="15">
        <v>6.9444444444444441E-3</v>
      </c>
      <c r="I33" s="16">
        <v>0.33333333333333331</v>
      </c>
      <c r="J33" s="16">
        <v>0.34027777777777779</v>
      </c>
    </row>
    <row r="34" spans="1:10" x14ac:dyDescent="0.2">
      <c r="A34" s="12">
        <v>46121</v>
      </c>
      <c r="B34" s="12" t="s">
        <v>22</v>
      </c>
      <c r="C34" s="13" t="s">
        <v>14</v>
      </c>
      <c r="D34" s="13"/>
      <c r="E34" s="13" t="s">
        <v>18</v>
      </c>
      <c r="F34" s="13" t="s">
        <v>16</v>
      </c>
      <c r="G34" s="14" t="s">
        <v>32</v>
      </c>
      <c r="H34" s="15">
        <v>0.11805555555555555</v>
      </c>
      <c r="I34" s="16">
        <v>0.34027777777777779</v>
      </c>
      <c r="J34" s="16">
        <v>0.45833333333333331</v>
      </c>
    </row>
    <row r="35" spans="1:10" x14ac:dyDescent="0.2">
      <c r="A35" s="12">
        <v>46121</v>
      </c>
      <c r="B35" s="12" t="s">
        <v>22</v>
      </c>
      <c r="C35" s="13" t="s">
        <v>14</v>
      </c>
      <c r="D35" s="13"/>
      <c r="E35" s="13" t="s">
        <v>15</v>
      </c>
      <c r="F35" s="13" t="s">
        <v>16</v>
      </c>
      <c r="G35" s="14" t="s">
        <v>20</v>
      </c>
      <c r="H35" s="15">
        <f t="shared" si="0"/>
        <v>4.1666666666666685E-2</v>
      </c>
      <c r="I35" s="16">
        <v>0.45833333333333331</v>
      </c>
      <c r="J35" s="16">
        <v>0.5</v>
      </c>
    </row>
    <row r="36" spans="1:10" x14ac:dyDescent="0.2">
      <c r="A36" s="12">
        <v>46121</v>
      </c>
      <c r="B36" s="12" t="s">
        <v>22</v>
      </c>
      <c r="C36" s="13" t="s">
        <v>14</v>
      </c>
      <c r="D36" s="13"/>
      <c r="E36" s="13" t="s">
        <v>18</v>
      </c>
      <c r="F36" s="13" t="s">
        <v>16</v>
      </c>
      <c r="G36" s="14" t="s">
        <v>32</v>
      </c>
      <c r="H36" s="15">
        <v>0.125</v>
      </c>
      <c r="I36" s="16">
        <v>0.54166666666666663</v>
      </c>
      <c r="J36" s="16">
        <v>0.66666666666666663</v>
      </c>
    </row>
    <row r="37" spans="1:10" x14ac:dyDescent="0.2">
      <c r="A37" s="12">
        <v>46121</v>
      </c>
      <c r="B37" s="12" t="s">
        <v>22</v>
      </c>
      <c r="C37" s="13" t="s">
        <v>14</v>
      </c>
      <c r="D37" s="13"/>
      <c r="E37" s="13" t="s">
        <v>15</v>
      </c>
      <c r="F37" s="13" t="s">
        <v>16</v>
      </c>
      <c r="G37" s="14" t="s">
        <v>21</v>
      </c>
      <c r="H37" s="15">
        <v>4.1666666666666664E-2</v>
      </c>
      <c r="I37" s="16">
        <v>0.66666666666666663</v>
      </c>
      <c r="J37" s="16">
        <v>0.70833333333333337</v>
      </c>
    </row>
    <row r="38" spans="1:10" x14ac:dyDescent="0.2">
      <c r="A38" s="12">
        <v>46122</v>
      </c>
      <c r="B38" s="12" t="s">
        <v>24</v>
      </c>
      <c r="C38" s="13" t="s">
        <v>14</v>
      </c>
      <c r="D38" s="13"/>
      <c r="E38" s="13" t="s">
        <v>15</v>
      </c>
      <c r="F38" s="13" t="s">
        <v>16</v>
      </c>
      <c r="G38" s="14" t="s">
        <v>17</v>
      </c>
      <c r="H38" s="15">
        <v>6.9444444444444441E-3</v>
      </c>
      <c r="I38" s="16">
        <v>0.33333333333333331</v>
      </c>
      <c r="J38" s="16">
        <v>0.34027777777777779</v>
      </c>
    </row>
    <row r="39" spans="1:10" x14ac:dyDescent="0.2">
      <c r="A39" s="12">
        <v>46122</v>
      </c>
      <c r="B39" s="12" t="s">
        <v>24</v>
      </c>
      <c r="C39" s="13" t="s">
        <v>14</v>
      </c>
      <c r="D39" s="13"/>
      <c r="E39" s="13" t="s">
        <v>18</v>
      </c>
      <c r="F39" s="13" t="s">
        <v>16</v>
      </c>
      <c r="G39" s="14" t="s">
        <v>33</v>
      </c>
      <c r="H39" s="15">
        <v>3.4722222222222224E-2</v>
      </c>
      <c r="I39" s="16">
        <v>0.34027777777777779</v>
      </c>
      <c r="J39" s="16">
        <v>0.375</v>
      </c>
    </row>
    <row r="40" spans="1:10" x14ac:dyDescent="0.2">
      <c r="A40" s="12">
        <v>46122</v>
      </c>
      <c r="B40" s="12" t="s">
        <v>24</v>
      </c>
      <c r="C40" s="13" t="s">
        <v>14</v>
      </c>
      <c r="D40" s="13"/>
      <c r="E40" s="13" t="s">
        <v>18</v>
      </c>
      <c r="F40" s="13" t="s">
        <v>16</v>
      </c>
      <c r="G40" s="14" t="s">
        <v>34</v>
      </c>
      <c r="H40" s="15">
        <v>7.6388888888888895E-2</v>
      </c>
      <c r="I40" s="16">
        <v>0.38194444444444442</v>
      </c>
      <c r="J40" s="16">
        <v>0.45833333333333331</v>
      </c>
    </row>
    <row r="41" spans="1:10" x14ac:dyDescent="0.2">
      <c r="A41" s="12">
        <v>46122</v>
      </c>
      <c r="B41" s="12" t="s">
        <v>24</v>
      </c>
      <c r="C41" s="13" t="s">
        <v>14</v>
      </c>
      <c r="D41" s="13"/>
      <c r="E41" s="13" t="s">
        <v>15</v>
      </c>
      <c r="F41" s="13" t="s">
        <v>16</v>
      </c>
      <c r="G41" s="14" t="s">
        <v>20</v>
      </c>
      <c r="H41" s="15">
        <v>4.1666666666666664E-2</v>
      </c>
      <c r="I41" s="16">
        <v>0.45833333333333331</v>
      </c>
      <c r="J41" s="16">
        <v>0.5</v>
      </c>
    </row>
    <row r="42" spans="1:10" x14ac:dyDescent="0.2">
      <c r="A42" s="12">
        <v>46122</v>
      </c>
      <c r="B42" s="12" t="s">
        <v>24</v>
      </c>
      <c r="C42" s="13" t="s">
        <v>14</v>
      </c>
      <c r="D42" s="13"/>
      <c r="E42" s="13" t="s">
        <v>18</v>
      </c>
      <c r="F42" s="13" t="s">
        <v>16</v>
      </c>
      <c r="G42" s="14" t="s">
        <v>34</v>
      </c>
      <c r="H42" s="15">
        <v>4.1666666666666664E-2</v>
      </c>
      <c r="I42" s="16">
        <v>0.54166666666666663</v>
      </c>
      <c r="J42" s="16">
        <v>0.58333333333333337</v>
      </c>
    </row>
    <row r="43" spans="1:10" x14ac:dyDescent="0.2">
      <c r="A43" s="12">
        <v>46122</v>
      </c>
      <c r="B43" s="12" t="s">
        <v>24</v>
      </c>
      <c r="C43" s="13" t="s">
        <v>14</v>
      </c>
      <c r="D43" s="13"/>
      <c r="E43" s="13" t="s">
        <v>35</v>
      </c>
      <c r="F43" s="13" t="s">
        <v>16</v>
      </c>
      <c r="G43" s="14" t="s">
        <v>36</v>
      </c>
      <c r="H43" s="15">
        <v>6.25E-2</v>
      </c>
      <c r="I43" s="16">
        <v>0.58333333333333337</v>
      </c>
      <c r="J43" s="16">
        <v>0.64583333333333337</v>
      </c>
    </row>
    <row r="44" spans="1:10" x14ac:dyDescent="0.2">
      <c r="A44" s="12">
        <v>46122</v>
      </c>
      <c r="B44" s="12" t="s">
        <v>24</v>
      </c>
      <c r="C44" s="13" t="s">
        <v>14</v>
      </c>
      <c r="D44" s="13"/>
      <c r="E44" s="13" t="s">
        <v>37</v>
      </c>
      <c r="F44" s="13" t="s">
        <v>16</v>
      </c>
      <c r="G44" s="14" t="s">
        <v>38</v>
      </c>
      <c r="H44" s="15">
        <f t="shared" si="0"/>
        <v>6.25E-2</v>
      </c>
      <c r="I44" s="16">
        <v>0.64583333333333337</v>
      </c>
      <c r="J44" s="16">
        <v>0.70833333333333337</v>
      </c>
    </row>
    <row r="45" spans="1:10" x14ac:dyDescent="0.2">
      <c r="A45" s="22">
        <v>46123</v>
      </c>
      <c r="B45" s="22" t="s">
        <v>27</v>
      </c>
      <c r="C45" s="23"/>
      <c r="D45" s="23"/>
      <c r="E45" s="23"/>
      <c r="F45" s="23"/>
      <c r="G45" s="24"/>
      <c r="H45" s="25">
        <f t="shared" si="0"/>
        <v>0</v>
      </c>
      <c r="I45" s="26"/>
      <c r="J45" s="26"/>
    </row>
    <row r="46" spans="1:10" x14ac:dyDescent="0.2">
      <c r="A46" s="22">
        <v>46124</v>
      </c>
      <c r="B46" s="22" t="s">
        <v>28</v>
      </c>
      <c r="C46" s="23"/>
      <c r="D46" s="23"/>
      <c r="E46" s="23"/>
      <c r="F46" s="23"/>
      <c r="G46" s="24"/>
      <c r="H46" s="25">
        <f t="shared" si="0"/>
        <v>0</v>
      </c>
      <c r="I46" s="26"/>
      <c r="J46" s="26"/>
    </row>
    <row r="47" spans="1:10" x14ac:dyDescent="0.2">
      <c r="A47" s="12">
        <v>46125</v>
      </c>
      <c r="B47" s="12" t="s">
        <v>29</v>
      </c>
      <c r="C47" s="13" t="s">
        <v>14</v>
      </c>
      <c r="D47" s="13"/>
      <c r="E47" s="13" t="s">
        <v>15</v>
      </c>
      <c r="F47" s="13" t="s">
        <v>16</v>
      </c>
      <c r="G47" s="14" t="s">
        <v>39</v>
      </c>
      <c r="H47" s="15">
        <f t="shared" si="0"/>
        <v>6.9444444444444753E-3</v>
      </c>
      <c r="I47" s="16">
        <v>0.33333333333333331</v>
      </c>
      <c r="J47" s="16">
        <v>0.34027777777777779</v>
      </c>
    </row>
    <row r="48" spans="1:10" x14ac:dyDescent="0.2">
      <c r="A48" s="12">
        <v>46125</v>
      </c>
      <c r="B48" s="12" t="s">
        <v>29</v>
      </c>
      <c r="C48" s="13" t="s">
        <v>14</v>
      </c>
      <c r="D48" s="13"/>
      <c r="E48" s="13" t="s">
        <v>40</v>
      </c>
      <c r="F48" s="13" t="s">
        <v>16</v>
      </c>
      <c r="G48" s="14" t="s">
        <v>41</v>
      </c>
      <c r="H48" s="15">
        <f t="shared" si="0"/>
        <v>0.11805555555555552</v>
      </c>
      <c r="I48" s="16">
        <v>0.34027777777777779</v>
      </c>
      <c r="J48" s="16">
        <v>0.45833333333333331</v>
      </c>
    </row>
    <row r="49" spans="1:10" x14ac:dyDescent="0.2">
      <c r="A49" s="12">
        <v>46125</v>
      </c>
      <c r="B49" s="12" t="s">
        <v>29</v>
      </c>
      <c r="C49" s="13" t="s">
        <v>14</v>
      </c>
      <c r="D49" s="13"/>
      <c r="E49" s="13" t="s">
        <v>15</v>
      </c>
      <c r="F49" s="13" t="s">
        <v>16</v>
      </c>
      <c r="G49" s="14" t="s">
        <v>20</v>
      </c>
      <c r="H49" s="15">
        <f t="shared" si="0"/>
        <v>2.777777777777779E-2</v>
      </c>
      <c r="I49" s="16">
        <v>0.45833333333333331</v>
      </c>
      <c r="J49" s="16">
        <v>0.4861111111111111</v>
      </c>
    </row>
    <row r="50" spans="1:10" x14ac:dyDescent="0.2">
      <c r="A50" s="12">
        <v>46125</v>
      </c>
      <c r="B50" s="12" t="s">
        <v>29</v>
      </c>
      <c r="C50" s="13" t="s">
        <v>14</v>
      </c>
      <c r="D50" s="13"/>
      <c r="E50" s="13" t="s">
        <v>40</v>
      </c>
      <c r="F50" s="13" t="s">
        <v>16</v>
      </c>
      <c r="G50" s="14" t="s">
        <v>41</v>
      </c>
      <c r="H50" s="15">
        <f t="shared" si="0"/>
        <v>5.2083333333333315E-2</v>
      </c>
      <c r="I50" s="16">
        <v>0.4861111111111111</v>
      </c>
      <c r="J50" s="16">
        <v>0.53819444444444442</v>
      </c>
    </row>
    <row r="51" spans="1:10" x14ac:dyDescent="0.2">
      <c r="A51" s="12">
        <v>46125</v>
      </c>
      <c r="B51" s="12" t="s">
        <v>29</v>
      </c>
      <c r="C51" s="13" t="s">
        <v>14</v>
      </c>
      <c r="D51" s="13"/>
      <c r="E51" s="13" t="s">
        <v>40</v>
      </c>
      <c r="F51" s="13" t="s">
        <v>16</v>
      </c>
      <c r="G51" s="14" t="s">
        <v>41</v>
      </c>
      <c r="H51" s="15">
        <f t="shared" si="0"/>
        <v>8.6805555555555469E-2</v>
      </c>
      <c r="I51" s="16">
        <v>0.57986111111111116</v>
      </c>
      <c r="J51" s="16">
        <v>0.66666666666666663</v>
      </c>
    </row>
    <row r="52" spans="1:10" x14ac:dyDescent="0.2">
      <c r="A52" s="12">
        <v>46125</v>
      </c>
      <c r="B52" s="12" t="s">
        <v>29</v>
      </c>
      <c r="C52" s="13" t="s">
        <v>14</v>
      </c>
      <c r="D52" s="13"/>
      <c r="E52" s="13" t="s">
        <v>15</v>
      </c>
      <c r="F52" s="13" t="s">
        <v>16</v>
      </c>
      <c r="G52" s="14" t="s">
        <v>21</v>
      </c>
      <c r="H52" s="15">
        <f t="shared" si="0"/>
        <v>4.1666666666666741E-2</v>
      </c>
      <c r="I52" s="16">
        <v>0.66666666666666663</v>
      </c>
      <c r="J52" s="16">
        <v>0.70833333333333337</v>
      </c>
    </row>
    <row r="53" spans="1:10" x14ac:dyDescent="0.2">
      <c r="A53" s="12">
        <v>46126</v>
      </c>
      <c r="B53" s="12" t="s">
        <v>31</v>
      </c>
      <c r="C53" s="13" t="s">
        <v>14</v>
      </c>
      <c r="D53" s="13"/>
      <c r="E53" s="13" t="s">
        <v>15</v>
      </c>
      <c r="F53" s="13" t="s">
        <v>16</v>
      </c>
      <c r="G53" s="14" t="s">
        <v>39</v>
      </c>
      <c r="H53" s="15">
        <f t="shared" si="0"/>
        <v>6.9444444444444753E-3</v>
      </c>
      <c r="I53" s="16">
        <v>0.33333333333333331</v>
      </c>
      <c r="J53" s="16">
        <v>0.34027777777777779</v>
      </c>
    </row>
    <row r="54" spans="1:10" x14ac:dyDescent="0.2">
      <c r="A54" s="12">
        <v>46126</v>
      </c>
      <c r="B54" s="12" t="s">
        <v>31</v>
      </c>
      <c r="C54" s="13" t="s">
        <v>14</v>
      </c>
      <c r="D54" s="13"/>
      <c r="E54" s="13" t="s">
        <v>40</v>
      </c>
      <c r="F54" s="13" t="s">
        <v>16</v>
      </c>
      <c r="G54" s="14" t="s">
        <v>41</v>
      </c>
      <c r="H54" s="15">
        <f t="shared" si="0"/>
        <v>0.11805555555555552</v>
      </c>
      <c r="I54" s="16">
        <v>0.34027777777777779</v>
      </c>
      <c r="J54" s="16">
        <v>0.45833333333333331</v>
      </c>
    </row>
    <row r="55" spans="1:10" x14ac:dyDescent="0.2">
      <c r="A55" s="12">
        <v>46126</v>
      </c>
      <c r="B55" s="12" t="s">
        <v>31</v>
      </c>
      <c r="C55" s="13" t="s">
        <v>14</v>
      </c>
      <c r="D55" s="13"/>
      <c r="E55" s="13" t="s">
        <v>15</v>
      </c>
      <c r="F55" s="13" t="s">
        <v>16</v>
      </c>
      <c r="G55" s="14" t="s">
        <v>20</v>
      </c>
      <c r="H55" s="15">
        <f t="shared" si="0"/>
        <v>3.4722222222222265E-2</v>
      </c>
      <c r="I55" s="16">
        <v>0.45833333333333331</v>
      </c>
      <c r="J55" s="16">
        <v>0.49305555555555558</v>
      </c>
    </row>
    <row r="56" spans="1:10" x14ac:dyDescent="0.2">
      <c r="A56" s="12">
        <v>46126</v>
      </c>
      <c r="B56" s="12" t="s">
        <v>31</v>
      </c>
      <c r="C56" s="13" t="s">
        <v>14</v>
      </c>
      <c r="D56" s="13"/>
      <c r="E56" s="13" t="s">
        <v>15</v>
      </c>
      <c r="F56" s="13" t="s">
        <v>16</v>
      </c>
      <c r="G56" s="14" t="s">
        <v>42</v>
      </c>
      <c r="H56" s="15">
        <f t="shared" si="0"/>
        <v>2.8472222222222232E-2</v>
      </c>
      <c r="I56" s="16">
        <v>0.5</v>
      </c>
      <c r="J56" s="16">
        <v>0.52847222222222223</v>
      </c>
    </row>
    <row r="57" spans="1:10" x14ac:dyDescent="0.2">
      <c r="A57" s="12">
        <v>46126</v>
      </c>
      <c r="B57" s="12" t="s">
        <v>31</v>
      </c>
      <c r="C57" s="13" t="s">
        <v>14</v>
      </c>
      <c r="D57" s="13"/>
      <c r="E57" s="13" t="s">
        <v>40</v>
      </c>
      <c r="F57" s="13" t="s">
        <v>16</v>
      </c>
      <c r="G57" s="14" t="s">
        <v>41</v>
      </c>
      <c r="H57" s="15">
        <f t="shared" si="0"/>
        <v>9.6527777777777768E-2</v>
      </c>
      <c r="I57" s="16">
        <v>0.57013888888888886</v>
      </c>
      <c r="J57" s="16">
        <v>0.66666666666666663</v>
      </c>
    </row>
    <row r="58" spans="1:10" x14ac:dyDescent="0.2">
      <c r="A58" s="12">
        <v>46126</v>
      </c>
      <c r="B58" s="12" t="s">
        <v>31</v>
      </c>
      <c r="C58" s="13" t="s">
        <v>14</v>
      </c>
      <c r="D58" s="13"/>
      <c r="E58" s="13" t="s">
        <v>15</v>
      </c>
      <c r="F58" s="13" t="s">
        <v>16</v>
      </c>
      <c r="G58" s="14" t="s">
        <v>21</v>
      </c>
      <c r="H58" s="15">
        <f t="shared" si="0"/>
        <v>4.861111111111116E-2</v>
      </c>
      <c r="I58" s="16">
        <v>0.66666666666666663</v>
      </c>
      <c r="J58" s="16">
        <v>0.71527777777777779</v>
      </c>
    </row>
    <row r="59" spans="1:10" x14ac:dyDescent="0.2">
      <c r="A59" s="12">
        <v>46127</v>
      </c>
      <c r="B59" s="12" t="s">
        <v>13</v>
      </c>
      <c r="C59" s="13" t="s">
        <v>14</v>
      </c>
      <c r="D59" s="13"/>
      <c r="E59" s="13" t="s">
        <v>15</v>
      </c>
      <c r="F59" s="13" t="s">
        <v>16</v>
      </c>
      <c r="G59" s="14" t="s">
        <v>39</v>
      </c>
      <c r="H59" s="15">
        <f t="shared" si="0"/>
        <v>6.9444444444444753E-3</v>
      </c>
      <c r="I59" s="16">
        <v>0.33333333333333331</v>
      </c>
      <c r="J59" s="16">
        <v>0.34027777777777779</v>
      </c>
    </row>
    <row r="60" spans="1:10" x14ac:dyDescent="0.2">
      <c r="A60" s="12">
        <v>46127</v>
      </c>
      <c r="B60" s="12" t="s">
        <v>13</v>
      </c>
      <c r="C60" s="13" t="s">
        <v>14</v>
      </c>
      <c r="D60" s="13"/>
      <c r="E60" s="13" t="s">
        <v>40</v>
      </c>
      <c r="F60" s="13" t="s">
        <v>16</v>
      </c>
      <c r="G60" s="14" t="s">
        <v>41</v>
      </c>
      <c r="H60" s="15">
        <f t="shared" si="0"/>
        <v>0.11805555555555552</v>
      </c>
      <c r="I60" s="16">
        <v>0.34027777777777779</v>
      </c>
      <c r="J60" s="16">
        <v>0.45833333333333331</v>
      </c>
    </row>
    <row r="61" spans="1:10" x14ac:dyDescent="0.2">
      <c r="A61" s="12">
        <v>46127</v>
      </c>
      <c r="B61" s="12" t="s">
        <v>13</v>
      </c>
      <c r="C61" s="13" t="s">
        <v>14</v>
      </c>
      <c r="D61" s="13"/>
      <c r="E61" s="13" t="s">
        <v>15</v>
      </c>
      <c r="F61" s="13" t="s">
        <v>16</v>
      </c>
      <c r="G61" s="14" t="s">
        <v>20</v>
      </c>
      <c r="H61" s="15">
        <f t="shared" si="0"/>
        <v>2.083333333333337E-2</v>
      </c>
      <c r="I61" s="16">
        <v>0.45833333333333331</v>
      </c>
      <c r="J61" s="16">
        <v>0.47916666666666669</v>
      </c>
    </row>
    <row r="62" spans="1:10" x14ac:dyDescent="0.2">
      <c r="A62" s="12">
        <v>46127</v>
      </c>
      <c r="B62" s="12" t="s">
        <v>13</v>
      </c>
      <c r="C62" s="13" t="s">
        <v>14</v>
      </c>
      <c r="D62" s="13"/>
      <c r="E62" s="13" t="s">
        <v>40</v>
      </c>
      <c r="F62" s="13" t="s">
        <v>16</v>
      </c>
      <c r="G62" s="14" t="s">
        <v>41</v>
      </c>
      <c r="H62" s="15">
        <f t="shared" si="0"/>
        <v>5.9027777777777735E-2</v>
      </c>
      <c r="I62" s="16">
        <v>0.47916666666666669</v>
      </c>
      <c r="J62" s="16">
        <v>0.53819444444444442</v>
      </c>
    </row>
    <row r="63" spans="1:10" x14ac:dyDescent="0.2">
      <c r="A63" s="12">
        <v>46127</v>
      </c>
      <c r="B63" s="12" t="s">
        <v>13</v>
      </c>
      <c r="C63" s="13" t="s">
        <v>14</v>
      </c>
      <c r="D63" s="13"/>
      <c r="E63" s="13" t="s">
        <v>40</v>
      </c>
      <c r="F63" s="13" t="s">
        <v>16</v>
      </c>
      <c r="G63" s="14" t="s">
        <v>41</v>
      </c>
      <c r="H63" s="15">
        <f t="shared" si="0"/>
        <v>8.6805555555555469E-2</v>
      </c>
      <c r="I63" s="16">
        <v>0.57986111111111116</v>
      </c>
      <c r="J63" s="16">
        <v>0.66666666666666663</v>
      </c>
    </row>
    <row r="64" spans="1:10" x14ac:dyDescent="0.2">
      <c r="A64" s="12">
        <v>46127</v>
      </c>
      <c r="B64" s="12" t="s">
        <v>13</v>
      </c>
      <c r="C64" s="13" t="s">
        <v>14</v>
      </c>
      <c r="D64" s="13"/>
      <c r="E64" s="13" t="s">
        <v>15</v>
      </c>
      <c r="F64" s="13" t="s">
        <v>16</v>
      </c>
      <c r="G64" s="14" t="s">
        <v>21</v>
      </c>
      <c r="H64" s="15">
        <f t="shared" si="0"/>
        <v>6.25E-2</v>
      </c>
      <c r="I64" s="16">
        <v>0.66666666666666663</v>
      </c>
      <c r="J64" s="16">
        <v>0.72916666666666663</v>
      </c>
    </row>
    <row r="65" spans="1:10" x14ac:dyDescent="0.2">
      <c r="A65" s="12">
        <v>46127</v>
      </c>
      <c r="B65" s="12" t="s">
        <v>13</v>
      </c>
      <c r="C65" s="13" t="s">
        <v>14</v>
      </c>
      <c r="D65" s="13"/>
      <c r="E65" s="13" t="s">
        <v>15</v>
      </c>
      <c r="F65" s="13" t="s">
        <v>16</v>
      </c>
      <c r="G65" s="14" t="s">
        <v>43</v>
      </c>
      <c r="H65" s="15">
        <v>2.0833333333333332E-2</v>
      </c>
      <c r="I65" s="16">
        <v>0.72916666666666663</v>
      </c>
      <c r="J65" s="16">
        <v>0.75</v>
      </c>
    </row>
    <row r="66" spans="1:10" x14ac:dyDescent="0.2">
      <c r="A66" s="12">
        <v>46128</v>
      </c>
      <c r="B66" s="12" t="s">
        <v>22</v>
      </c>
      <c r="C66" s="13" t="s">
        <v>14</v>
      </c>
      <c r="D66" s="13"/>
      <c r="E66" s="13" t="s">
        <v>15</v>
      </c>
      <c r="F66" s="13" t="s">
        <v>16</v>
      </c>
      <c r="G66" s="14" t="s">
        <v>39</v>
      </c>
      <c r="H66" s="15">
        <f t="shared" ref="H66:H76" si="1">J66-I66</f>
        <v>6.9444444444444753E-3</v>
      </c>
      <c r="I66" s="16">
        <v>0.33333333333333331</v>
      </c>
      <c r="J66" s="16">
        <v>0.34027777777777779</v>
      </c>
    </row>
    <row r="67" spans="1:10" x14ac:dyDescent="0.2">
      <c r="A67" s="12">
        <v>46128</v>
      </c>
      <c r="B67" s="12" t="s">
        <v>22</v>
      </c>
      <c r="C67" s="13" t="s">
        <v>14</v>
      </c>
      <c r="D67" s="13"/>
      <c r="E67" s="13" t="s">
        <v>40</v>
      </c>
      <c r="F67" s="13" t="s">
        <v>16</v>
      </c>
      <c r="G67" s="14" t="s">
        <v>41</v>
      </c>
      <c r="H67" s="15">
        <f t="shared" si="1"/>
        <v>0.11805555555555552</v>
      </c>
      <c r="I67" s="16">
        <v>0.34027777777777779</v>
      </c>
      <c r="J67" s="16">
        <v>0.45833333333333331</v>
      </c>
    </row>
    <row r="68" spans="1:10" x14ac:dyDescent="0.2">
      <c r="A68" s="12">
        <v>46128</v>
      </c>
      <c r="B68" s="12" t="s">
        <v>22</v>
      </c>
      <c r="C68" s="13" t="s">
        <v>14</v>
      </c>
      <c r="D68" s="13"/>
      <c r="E68" s="13" t="s">
        <v>15</v>
      </c>
      <c r="F68" s="13" t="s">
        <v>16</v>
      </c>
      <c r="G68" s="14" t="s">
        <v>20</v>
      </c>
      <c r="H68" s="15">
        <f t="shared" si="1"/>
        <v>2.777777777777779E-2</v>
      </c>
      <c r="I68" s="16">
        <v>0.45833333333333331</v>
      </c>
      <c r="J68" s="16">
        <v>0.4861111111111111</v>
      </c>
    </row>
    <row r="69" spans="1:10" x14ac:dyDescent="0.2">
      <c r="A69" s="12">
        <v>46128</v>
      </c>
      <c r="B69" s="12" t="s">
        <v>22</v>
      </c>
      <c r="C69" s="13" t="s">
        <v>14</v>
      </c>
      <c r="D69" s="13"/>
      <c r="E69" s="13" t="s">
        <v>40</v>
      </c>
      <c r="F69" s="13" t="s">
        <v>16</v>
      </c>
      <c r="G69" s="14" t="s">
        <v>41</v>
      </c>
      <c r="H69" s="15">
        <f t="shared" si="1"/>
        <v>5.2083333333333315E-2</v>
      </c>
      <c r="I69" s="16">
        <v>0.4861111111111111</v>
      </c>
      <c r="J69" s="16">
        <v>0.53819444444444442</v>
      </c>
    </row>
    <row r="70" spans="1:10" x14ac:dyDescent="0.2">
      <c r="A70" s="12">
        <v>46128</v>
      </c>
      <c r="B70" s="12" t="s">
        <v>22</v>
      </c>
      <c r="C70" s="13" t="s">
        <v>14</v>
      </c>
      <c r="D70" s="13"/>
      <c r="E70" s="13" t="s">
        <v>40</v>
      </c>
      <c r="F70" s="13" t="s">
        <v>16</v>
      </c>
      <c r="G70" s="14" t="s">
        <v>41</v>
      </c>
      <c r="H70" s="15">
        <f t="shared" si="1"/>
        <v>8.6805555555555469E-2</v>
      </c>
      <c r="I70" s="16">
        <v>0.57986111111111116</v>
      </c>
      <c r="J70" s="16">
        <v>0.66666666666666663</v>
      </c>
    </row>
    <row r="71" spans="1:10" x14ac:dyDescent="0.2">
      <c r="A71" s="12">
        <v>46128</v>
      </c>
      <c r="B71" s="12" t="s">
        <v>22</v>
      </c>
      <c r="C71" s="13" t="s">
        <v>14</v>
      </c>
      <c r="D71" s="13"/>
      <c r="E71" s="13" t="s">
        <v>15</v>
      </c>
      <c r="F71" s="13" t="s">
        <v>16</v>
      </c>
      <c r="G71" s="14" t="s">
        <v>21</v>
      </c>
      <c r="H71" s="15">
        <f t="shared" si="1"/>
        <v>8.333333333333337E-2</v>
      </c>
      <c r="I71" s="16">
        <v>0.66666666666666663</v>
      </c>
      <c r="J71" s="16">
        <v>0.75</v>
      </c>
    </row>
    <row r="72" spans="1:10" x14ac:dyDescent="0.2">
      <c r="A72" s="12">
        <v>46129</v>
      </c>
      <c r="B72" s="12" t="s">
        <v>24</v>
      </c>
      <c r="C72" s="13" t="s">
        <v>14</v>
      </c>
      <c r="D72" s="13"/>
      <c r="E72" s="13" t="s">
        <v>15</v>
      </c>
      <c r="F72" s="13" t="s">
        <v>16</v>
      </c>
      <c r="G72" s="14" t="s">
        <v>39</v>
      </c>
      <c r="H72" s="15">
        <f t="shared" si="1"/>
        <v>2.777777777777779E-2</v>
      </c>
      <c r="I72" s="16">
        <v>0.33333333333333331</v>
      </c>
      <c r="J72" s="16">
        <v>0.3611111111111111</v>
      </c>
    </row>
    <row r="73" spans="1:10" x14ac:dyDescent="0.2">
      <c r="A73" s="12">
        <v>46129</v>
      </c>
      <c r="B73" s="12" t="s">
        <v>24</v>
      </c>
      <c r="C73" s="13" t="s">
        <v>14</v>
      </c>
      <c r="D73" s="13"/>
      <c r="E73" s="13" t="s">
        <v>40</v>
      </c>
      <c r="F73" s="13" t="s">
        <v>16</v>
      </c>
      <c r="G73" s="14" t="s">
        <v>41</v>
      </c>
      <c r="H73" s="15">
        <f t="shared" si="1"/>
        <v>9.722222222222221E-2</v>
      </c>
      <c r="I73" s="16">
        <v>0.3611111111111111</v>
      </c>
      <c r="J73" s="16">
        <v>0.45833333333333331</v>
      </c>
    </row>
    <row r="74" spans="1:10" x14ac:dyDescent="0.2">
      <c r="A74" s="12">
        <v>46129</v>
      </c>
      <c r="B74" s="12" t="s">
        <v>24</v>
      </c>
      <c r="C74" s="13" t="s">
        <v>14</v>
      </c>
      <c r="D74" s="13"/>
      <c r="E74" s="13" t="s">
        <v>15</v>
      </c>
      <c r="F74" s="13" t="s">
        <v>16</v>
      </c>
      <c r="G74" s="14" t="s">
        <v>20</v>
      </c>
      <c r="H74" s="15">
        <f t="shared" si="1"/>
        <v>2.777777777777779E-2</v>
      </c>
      <c r="I74" s="16">
        <v>0.45833333333333331</v>
      </c>
      <c r="J74" s="16">
        <v>0.4861111111111111</v>
      </c>
    </row>
    <row r="75" spans="1:10" x14ac:dyDescent="0.2">
      <c r="A75" s="12">
        <v>46129</v>
      </c>
      <c r="B75" s="12" t="s">
        <v>24</v>
      </c>
      <c r="C75" s="13" t="s">
        <v>14</v>
      </c>
      <c r="D75" s="13"/>
      <c r="E75" s="13" t="s">
        <v>40</v>
      </c>
      <c r="F75" s="13" t="s">
        <v>16</v>
      </c>
      <c r="G75" s="14" t="s">
        <v>41</v>
      </c>
      <c r="H75" s="15">
        <f t="shared" si="1"/>
        <v>5.2083333333333315E-2</v>
      </c>
      <c r="I75" s="16">
        <v>0.4861111111111111</v>
      </c>
      <c r="J75" s="16">
        <v>0.53819444444444442</v>
      </c>
    </row>
    <row r="76" spans="1:10" x14ac:dyDescent="0.2">
      <c r="A76" s="12">
        <v>46129</v>
      </c>
      <c r="B76" s="12" t="s">
        <v>24</v>
      </c>
      <c r="C76" s="13" t="s">
        <v>14</v>
      </c>
      <c r="D76" s="13"/>
      <c r="E76" s="13" t="s">
        <v>40</v>
      </c>
      <c r="F76" s="13" t="s">
        <v>16</v>
      </c>
      <c r="G76" s="14" t="s">
        <v>41</v>
      </c>
      <c r="H76" s="15">
        <f t="shared" si="1"/>
        <v>8.6805555555555469E-2</v>
      </c>
      <c r="I76" s="16">
        <v>0.57986111111111116</v>
      </c>
      <c r="J76" s="16">
        <v>0.66666666666666663</v>
      </c>
    </row>
    <row r="77" spans="1:10" x14ac:dyDescent="0.2">
      <c r="A77" s="12">
        <v>46129</v>
      </c>
      <c r="B77" s="12" t="s">
        <v>24</v>
      </c>
      <c r="C77" s="13" t="s">
        <v>14</v>
      </c>
      <c r="D77" s="13"/>
      <c r="E77" s="13" t="s">
        <v>15</v>
      </c>
      <c r="F77" s="13" t="s">
        <v>16</v>
      </c>
      <c r="G77" s="14" t="s">
        <v>21</v>
      </c>
      <c r="H77" s="15">
        <v>4.1666666666666664E-2</v>
      </c>
      <c r="I77" s="16">
        <v>0.66666666666666663</v>
      </c>
      <c r="J77" s="16">
        <v>0.72916666666666663</v>
      </c>
    </row>
    <row r="78" spans="1:10" x14ac:dyDescent="0.2">
      <c r="A78" s="22">
        <v>46130</v>
      </c>
      <c r="B78" s="22" t="s">
        <v>27</v>
      </c>
      <c r="C78" s="23"/>
      <c r="D78" s="23"/>
      <c r="E78" s="23"/>
      <c r="F78" s="23"/>
      <c r="G78" s="24"/>
      <c r="H78" s="25"/>
      <c r="I78" s="26"/>
      <c r="J78" s="26"/>
    </row>
    <row r="79" spans="1:10" x14ac:dyDescent="0.2">
      <c r="A79" s="22">
        <v>46131</v>
      </c>
      <c r="B79" s="22" t="s">
        <v>28</v>
      </c>
      <c r="C79" s="23"/>
      <c r="D79" s="23"/>
      <c r="E79" s="23"/>
      <c r="F79" s="23"/>
      <c r="G79" s="24"/>
      <c r="H79" s="25">
        <f t="shared" si="0"/>
        <v>0</v>
      </c>
      <c r="I79" s="26"/>
      <c r="J79" s="26"/>
    </row>
    <row r="80" spans="1:10" x14ac:dyDescent="0.2">
      <c r="A80" s="12">
        <v>46132</v>
      </c>
      <c r="B80" s="12" t="s">
        <v>29</v>
      </c>
      <c r="C80" s="13" t="s">
        <v>14</v>
      </c>
      <c r="D80" s="13"/>
      <c r="E80" s="13" t="s">
        <v>15</v>
      </c>
      <c r="F80" s="13" t="s">
        <v>16</v>
      </c>
      <c r="G80" s="14" t="s">
        <v>39</v>
      </c>
      <c r="H80" s="15">
        <f t="shared" si="0"/>
        <v>6.9444444444444753E-3</v>
      </c>
      <c r="I80" s="16">
        <v>0.33333333333333331</v>
      </c>
      <c r="J80" s="16">
        <v>0.34027777777777779</v>
      </c>
    </row>
    <row r="81" spans="1:10" x14ac:dyDescent="0.2">
      <c r="A81" s="12">
        <v>46132</v>
      </c>
      <c r="B81" s="12" t="s">
        <v>29</v>
      </c>
      <c r="C81" s="13" t="s">
        <v>14</v>
      </c>
      <c r="D81" s="13"/>
      <c r="E81" s="13" t="s">
        <v>40</v>
      </c>
      <c r="F81" s="13" t="s">
        <v>16</v>
      </c>
      <c r="G81" s="14" t="s">
        <v>41</v>
      </c>
      <c r="H81" s="15">
        <f t="shared" si="0"/>
        <v>0.11805555555555552</v>
      </c>
      <c r="I81" s="16">
        <v>0.34027777777777779</v>
      </c>
      <c r="J81" s="16">
        <v>0.45833333333333331</v>
      </c>
    </row>
    <row r="82" spans="1:10" x14ac:dyDescent="0.2">
      <c r="A82" s="12">
        <v>46132</v>
      </c>
      <c r="B82" s="12" t="s">
        <v>29</v>
      </c>
      <c r="C82" s="13" t="s">
        <v>14</v>
      </c>
      <c r="D82" s="13"/>
      <c r="E82" s="13" t="s">
        <v>15</v>
      </c>
      <c r="F82" s="13" t="s">
        <v>16</v>
      </c>
      <c r="G82" s="14" t="s">
        <v>20</v>
      </c>
      <c r="H82" s="15">
        <f t="shared" si="0"/>
        <v>2.777777777777779E-2</v>
      </c>
      <c r="I82" s="16">
        <v>0.45833333333333331</v>
      </c>
      <c r="J82" s="16">
        <v>0.4861111111111111</v>
      </c>
    </row>
    <row r="83" spans="1:10" x14ac:dyDescent="0.2">
      <c r="A83" s="12">
        <v>46132</v>
      </c>
      <c r="B83" s="12" t="s">
        <v>29</v>
      </c>
      <c r="C83" s="13" t="s">
        <v>14</v>
      </c>
      <c r="D83" s="13"/>
      <c r="E83" s="13" t="s">
        <v>40</v>
      </c>
      <c r="F83" s="13" t="s">
        <v>16</v>
      </c>
      <c r="G83" s="14" t="s">
        <v>41</v>
      </c>
      <c r="H83" s="15">
        <f t="shared" si="0"/>
        <v>5.2083333333333315E-2</v>
      </c>
      <c r="I83" s="16">
        <v>0.4861111111111111</v>
      </c>
      <c r="J83" s="16">
        <v>0.53819444444444442</v>
      </c>
    </row>
    <row r="84" spans="1:10" x14ac:dyDescent="0.2">
      <c r="A84" s="12">
        <v>46132</v>
      </c>
      <c r="B84" s="12" t="s">
        <v>29</v>
      </c>
      <c r="C84" s="13" t="s">
        <v>14</v>
      </c>
      <c r="D84" s="13"/>
      <c r="E84" s="13" t="s">
        <v>40</v>
      </c>
      <c r="F84" s="13" t="s">
        <v>16</v>
      </c>
      <c r="G84" s="14" t="s">
        <v>41</v>
      </c>
      <c r="H84" s="15">
        <f t="shared" si="0"/>
        <v>8.6805555555555469E-2</v>
      </c>
      <c r="I84" s="16">
        <v>0.57986111111111116</v>
      </c>
      <c r="J84" s="16">
        <v>0.66666666666666663</v>
      </c>
    </row>
    <row r="85" spans="1:10" x14ac:dyDescent="0.2">
      <c r="A85" s="12">
        <v>46132</v>
      </c>
      <c r="B85" s="12" t="s">
        <v>29</v>
      </c>
      <c r="C85" s="13" t="s">
        <v>14</v>
      </c>
      <c r="D85" s="13"/>
      <c r="E85" s="13" t="s">
        <v>15</v>
      </c>
      <c r="F85" s="13" t="s">
        <v>16</v>
      </c>
      <c r="G85" s="14" t="s">
        <v>21</v>
      </c>
      <c r="H85" s="15">
        <f t="shared" si="0"/>
        <v>4.1666666666666741E-2</v>
      </c>
      <c r="I85" s="16">
        <v>0.66666666666666663</v>
      </c>
      <c r="J85" s="16">
        <v>0.70833333333333337</v>
      </c>
    </row>
    <row r="86" spans="1:10" x14ac:dyDescent="0.2">
      <c r="A86" s="12">
        <v>46133</v>
      </c>
      <c r="B86" s="12" t="s">
        <v>31</v>
      </c>
      <c r="C86" s="13" t="s">
        <v>14</v>
      </c>
      <c r="D86" s="13"/>
      <c r="E86" s="13" t="s">
        <v>15</v>
      </c>
      <c r="F86" s="13" t="s">
        <v>16</v>
      </c>
      <c r="G86" s="14" t="s">
        <v>39</v>
      </c>
      <c r="H86" s="15">
        <f t="shared" si="0"/>
        <v>6.9444444444444753E-3</v>
      </c>
      <c r="I86" s="16">
        <v>0.33333333333333331</v>
      </c>
      <c r="J86" s="16">
        <v>0.34027777777777779</v>
      </c>
    </row>
    <row r="87" spans="1:10" x14ac:dyDescent="0.2">
      <c r="A87" s="12">
        <v>46133</v>
      </c>
      <c r="B87" s="12" t="s">
        <v>31</v>
      </c>
      <c r="C87" s="13" t="s">
        <v>14</v>
      </c>
      <c r="D87" s="13"/>
      <c r="E87" s="13" t="s">
        <v>18</v>
      </c>
      <c r="F87" s="13" t="s">
        <v>16</v>
      </c>
      <c r="G87" s="14" t="s">
        <v>44</v>
      </c>
      <c r="H87" s="15">
        <f t="shared" si="0"/>
        <v>0.11805555555555552</v>
      </c>
      <c r="I87" s="16">
        <v>0.34027777777777779</v>
      </c>
      <c r="J87" s="16">
        <v>0.45833333333333331</v>
      </c>
    </row>
    <row r="88" spans="1:10" x14ac:dyDescent="0.2">
      <c r="A88" s="12">
        <v>46133</v>
      </c>
      <c r="B88" s="12" t="s">
        <v>31</v>
      </c>
      <c r="C88" s="13" t="s">
        <v>14</v>
      </c>
      <c r="D88" s="13"/>
      <c r="E88" s="13" t="s">
        <v>15</v>
      </c>
      <c r="F88" s="13" t="s">
        <v>16</v>
      </c>
      <c r="G88" s="14" t="s">
        <v>20</v>
      </c>
      <c r="H88" s="15">
        <f t="shared" si="0"/>
        <v>3.4722222222222265E-2</v>
      </c>
      <c r="I88" s="16">
        <v>0.45833333333333331</v>
      </c>
      <c r="J88" s="16">
        <v>0.49305555555555558</v>
      </c>
    </row>
    <row r="89" spans="1:10" x14ac:dyDescent="0.2">
      <c r="A89" s="12">
        <v>46133</v>
      </c>
      <c r="B89" s="12" t="s">
        <v>31</v>
      </c>
      <c r="C89" s="13" t="s">
        <v>14</v>
      </c>
      <c r="D89" s="13"/>
      <c r="E89" s="13" t="s">
        <v>15</v>
      </c>
      <c r="F89" s="13" t="s">
        <v>16</v>
      </c>
      <c r="G89" s="14" t="s">
        <v>41</v>
      </c>
      <c r="H89" s="15">
        <f t="shared" si="0"/>
        <v>2.8472222222222232E-2</v>
      </c>
      <c r="I89" s="16">
        <v>0.5</v>
      </c>
      <c r="J89" s="16">
        <v>0.52847222222222223</v>
      </c>
    </row>
    <row r="90" spans="1:10" x14ac:dyDescent="0.2">
      <c r="A90" s="12">
        <v>46133</v>
      </c>
      <c r="B90" s="12" t="s">
        <v>31</v>
      </c>
      <c r="C90" s="13" t="s">
        <v>14</v>
      </c>
      <c r="D90" s="13"/>
      <c r="E90" s="13" t="s">
        <v>18</v>
      </c>
      <c r="F90" s="13" t="s">
        <v>16</v>
      </c>
      <c r="G90" s="14" t="s">
        <v>44</v>
      </c>
      <c r="H90" s="15">
        <f t="shared" si="0"/>
        <v>9.6527777777777768E-2</v>
      </c>
      <c r="I90" s="16">
        <v>0.57013888888888886</v>
      </c>
      <c r="J90" s="16">
        <v>0.66666666666666663</v>
      </c>
    </row>
    <row r="91" spans="1:10" x14ac:dyDescent="0.2">
      <c r="A91" s="12">
        <v>46133</v>
      </c>
      <c r="B91" s="12" t="s">
        <v>31</v>
      </c>
      <c r="C91" s="13" t="s">
        <v>14</v>
      </c>
      <c r="D91" s="13"/>
      <c r="E91" s="13" t="s">
        <v>15</v>
      </c>
      <c r="F91" s="13" t="s">
        <v>16</v>
      </c>
      <c r="G91" s="14" t="s">
        <v>21</v>
      </c>
      <c r="H91" s="15">
        <f t="shared" si="0"/>
        <v>4.861111111111116E-2</v>
      </c>
      <c r="I91" s="16">
        <v>0.66666666666666663</v>
      </c>
      <c r="J91" s="16">
        <v>0.71527777777777779</v>
      </c>
    </row>
    <row r="92" spans="1:10" x14ac:dyDescent="0.2">
      <c r="A92" s="12">
        <v>46134</v>
      </c>
      <c r="B92" s="12" t="s">
        <v>13</v>
      </c>
      <c r="C92" s="13" t="s">
        <v>14</v>
      </c>
      <c r="D92" s="13"/>
      <c r="E92" s="13" t="s">
        <v>15</v>
      </c>
      <c r="F92" s="13" t="s">
        <v>16</v>
      </c>
      <c r="G92" s="14" t="s">
        <v>39</v>
      </c>
      <c r="H92" s="15">
        <f t="shared" si="0"/>
        <v>6.9444444444444753E-3</v>
      </c>
      <c r="I92" s="16">
        <v>0.33333333333333331</v>
      </c>
      <c r="J92" s="16">
        <v>0.34027777777777779</v>
      </c>
    </row>
    <row r="93" spans="1:10" x14ac:dyDescent="0.2">
      <c r="A93" s="12">
        <v>46134</v>
      </c>
      <c r="B93" s="12" t="s">
        <v>13</v>
      </c>
      <c r="C93" s="13" t="s">
        <v>14</v>
      </c>
      <c r="D93" s="13"/>
      <c r="E93" s="13" t="s">
        <v>40</v>
      </c>
      <c r="F93" s="13" t="s">
        <v>16</v>
      </c>
      <c r="G93" s="14" t="s">
        <v>41</v>
      </c>
      <c r="H93" s="15">
        <f t="shared" si="0"/>
        <v>0.11805555555555552</v>
      </c>
      <c r="I93" s="16">
        <v>0.34027777777777779</v>
      </c>
      <c r="J93" s="16">
        <v>0.45833333333333331</v>
      </c>
    </row>
    <row r="94" spans="1:10" x14ac:dyDescent="0.2">
      <c r="A94" s="12">
        <v>46134</v>
      </c>
      <c r="B94" s="12" t="s">
        <v>13</v>
      </c>
      <c r="C94" s="13" t="s">
        <v>14</v>
      </c>
      <c r="D94" s="13"/>
      <c r="E94" s="13" t="s">
        <v>15</v>
      </c>
      <c r="F94" s="13" t="s">
        <v>16</v>
      </c>
      <c r="G94" s="14" t="s">
        <v>20</v>
      </c>
      <c r="H94" s="15">
        <f t="shared" si="0"/>
        <v>2.083333333333337E-2</v>
      </c>
      <c r="I94" s="16">
        <v>0.45833333333333331</v>
      </c>
      <c r="J94" s="16">
        <v>0.47916666666666669</v>
      </c>
    </row>
    <row r="95" spans="1:10" x14ac:dyDescent="0.2">
      <c r="A95" s="12">
        <v>46134</v>
      </c>
      <c r="B95" s="12" t="s">
        <v>13</v>
      </c>
      <c r="C95" s="13" t="s">
        <v>14</v>
      </c>
      <c r="D95" s="13"/>
      <c r="E95" s="13" t="s">
        <v>18</v>
      </c>
      <c r="F95" s="13" t="s">
        <v>16</v>
      </c>
      <c r="G95" s="14" t="s">
        <v>44</v>
      </c>
      <c r="H95" s="15">
        <f t="shared" si="0"/>
        <v>5.9027777777777735E-2</v>
      </c>
      <c r="I95" s="16">
        <v>0.47916666666666669</v>
      </c>
      <c r="J95" s="16">
        <v>0.53819444444444442</v>
      </c>
    </row>
    <row r="96" spans="1:10" x14ac:dyDescent="0.2">
      <c r="A96" s="12">
        <v>46134</v>
      </c>
      <c r="B96" s="12" t="s">
        <v>13</v>
      </c>
      <c r="C96" s="13" t="s">
        <v>14</v>
      </c>
      <c r="D96" s="13"/>
      <c r="E96" s="13" t="s">
        <v>18</v>
      </c>
      <c r="F96" s="13" t="s">
        <v>16</v>
      </c>
      <c r="G96" s="14" t="s">
        <v>44</v>
      </c>
      <c r="H96" s="15">
        <f t="shared" si="0"/>
        <v>8.6805555555555469E-2</v>
      </c>
      <c r="I96" s="16">
        <v>0.57986111111111116</v>
      </c>
      <c r="J96" s="16">
        <v>0.66666666666666663</v>
      </c>
    </row>
    <row r="97" spans="1:10" x14ac:dyDescent="0.2">
      <c r="A97" s="12">
        <v>46134</v>
      </c>
      <c r="B97" s="12" t="s">
        <v>13</v>
      </c>
      <c r="C97" s="13" t="s">
        <v>14</v>
      </c>
      <c r="D97" s="13"/>
      <c r="E97" s="13" t="s">
        <v>15</v>
      </c>
      <c r="F97" s="13" t="s">
        <v>16</v>
      </c>
      <c r="G97" s="14" t="s">
        <v>21</v>
      </c>
      <c r="H97" s="15">
        <f t="shared" si="0"/>
        <v>4.861111111111116E-2</v>
      </c>
      <c r="I97" s="16">
        <v>0.66666666666666663</v>
      </c>
      <c r="J97" s="16">
        <v>0.71527777777777779</v>
      </c>
    </row>
    <row r="98" spans="1:10" x14ac:dyDescent="0.2">
      <c r="A98" s="12">
        <v>46135</v>
      </c>
      <c r="B98" s="12" t="s">
        <v>22</v>
      </c>
      <c r="C98" s="13" t="s">
        <v>14</v>
      </c>
      <c r="D98" s="13"/>
      <c r="E98" s="13" t="s">
        <v>15</v>
      </c>
      <c r="F98" s="13" t="s">
        <v>16</v>
      </c>
      <c r="G98" s="14" t="s">
        <v>39</v>
      </c>
      <c r="H98" s="15">
        <f t="shared" si="0"/>
        <v>6.9444444444444753E-3</v>
      </c>
      <c r="I98" s="16">
        <v>0.33333333333333331</v>
      </c>
      <c r="J98" s="16">
        <v>0.34027777777777779</v>
      </c>
    </row>
    <row r="99" spans="1:10" x14ac:dyDescent="0.2">
      <c r="A99" s="12">
        <v>46135</v>
      </c>
      <c r="B99" s="12" t="s">
        <v>22</v>
      </c>
      <c r="C99" s="13" t="s">
        <v>14</v>
      </c>
      <c r="D99" s="13"/>
      <c r="E99" s="13" t="s">
        <v>18</v>
      </c>
      <c r="F99" s="13" t="s">
        <v>16</v>
      </c>
      <c r="G99" s="14" t="s">
        <v>44</v>
      </c>
      <c r="H99" s="15">
        <f t="shared" si="0"/>
        <v>0.11805555555555552</v>
      </c>
      <c r="I99" s="16">
        <v>0.34027777777777779</v>
      </c>
      <c r="J99" s="16">
        <v>0.45833333333333331</v>
      </c>
    </row>
    <row r="100" spans="1:10" x14ac:dyDescent="0.2">
      <c r="A100" s="12">
        <v>46135</v>
      </c>
      <c r="B100" s="12" t="s">
        <v>22</v>
      </c>
      <c r="C100" s="13" t="s">
        <v>14</v>
      </c>
      <c r="D100" s="13"/>
      <c r="E100" s="13" t="s">
        <v>15</v>
      </c>
      <c r="F100" s="13" t="s">
        <v>16</v>
      </c>
      <c r="G100" s="14" t="s">
        <v>20</v>
      </c>
      <c r="H100" s="15">
        <f t="shared" si="0"/>
        <v>2.777777777777779E-2</v>
      </c>
      <c r="I100" s="16">
        <v>0.45833333333333331</v>
      </c>
      <c r="J100" s="16">
        <v>0.4861111111111111</v>
      </c>
    </row>
    <row r="101" spans="1:10" x14ac:dyDescent="0.2">
      <c r="A101" s="12">
        <v>46135</v>
      </c>
      <c r="B101" s="12" t="s">
        <v>22</v>
      </c>
      <c r="C101" s="13" t="s">
        <v>14</v>
      </c>
      <c r="D101" s="13"/>
      <c r="E101" s="13" t="s">
        <v>18</v>
      </c>
      <c r="F101" s="13" t="s">
        <v>16</v>
      </c>
      <c r="G101" s="14" t="s">
        <v>44</v>
      </c>
      <c r="H101" s="15">
        <f t="shared" si="0"/>
        <v>5.2083333333333315E-2</v>
      </c>
      <c r="I101" s="16">
        <v>0.4861111111111111</v>
      </c>
      <c r="J101" s="16">
        <v>0.53819444444444442</v>
      </c>
    </row>
    <row r="102" spans="1:10" x14ac:dyDescent="0.2">
      <c r="A102" s="12">
        <v>46135</v>
      </c>
      <c r="B102" s="12" t="s">
        <v>22</v>
      </c>
      <c r="C102" s="13" t="s">
        <v>14</v>
      </c>
      <c r="D102" s="13"/>
      <c r="E102" s="13" t="s">
        <v>18</v>
      </c>
      <c r="F102" s="13" t="s">
        <v>16</v>
      </c>
      <c r="G102" s="14" t="s">
        <v>44</v>
      </c>
      <c r="H102" s="15">
        <f t="shared" si="0"/>
        <v>8.6805555555555469E-2</v>
      </c>
      <c r="I102" s="16">
        <v>0.57986111111111116</v>
      </c>
      <c r="J102" s="16">
        <v>0.66666666666666663</v>
      </c>
    </row>
    <row r="103" spans="1:10" x14ac:dyDescent="0.2">
      <c r="A103" s="12">
        <v>46135</v>
      </c>
      <c r="B103" s="12" t="s">
        <v>22</v>
      </c>
      <c r="C103" s="13" t="s">
        <v>14</v>
      </c>
      <c r="D103" s="13"/>
      <c r="E103" s="13" t="s">
        <v>15</v>
      </c>
      <c r="F103" s="13" t="s">
        <v>16</v>
      </c>
      <c r="G103" s="14" t="s">
        <v>21</v>
      </c>
      <c r="H103" s="15">
        <f t="shared" si="0"/>
        <v>4.1666666666666741E-2</v>
      </c>
      <c r="I103" s="16">
        <v>0.66666666666666663</v>
      </c>
      <c r="J103" s="16">
        <v>0.70833333333333337</v>
      </c>
    </row>
    <row r="104" spans="1:10" x14ac:dyDescent="0.2">
      <c r="A104" s="12">
        <v>46135</v>
      </c>
      <c r="B104" s="12" t="s">
        <v>22</v>
      </c>
      <c r="C104" s="13" t="s">
        <v>14</v>
      </c>
      <c r="D104" s="13"/>
      <c r="E104" s="13" t="s">
        <v>15</v>
      </c>
      <c r="F104" s="13" t="s">
        <v>16</v>
      </c>
      <c r="G104" s="14" t="s">
        <v>39</v>
      </c>
      <c r="H104" s="15">
        <f t="shared" si="0"/>
        <v>6.9444444444444753E-3</v>
      </c>
      <c r="I104" s="16">
        <v>0.33333333333333331</v>
      </c>
      <c r="J104" s="16">
        <v>0.34027777777777779</v>
      </c>
    </row>
    <row r="105" spans="1:10" x14ac:dyDescent="0.2">
      <c r="A105" s="12">
        <v>46136</v>
      </c>
      <c r="B105" s="12" t="s">
        <v>24</v>
      </c>
      <c r="C105" s="13" t="s">
        <v>14</v>
      </c>
      <c r="D105" s="13"/>
      <c r="E105" s="13" t="s">
        <v>18</v>
      </c>
      <c r="F105" s="13" t="s">
        <v>16</v>
      </c>
      <c r="G105" s="14" t="s">
        <v>44</v>
      </c>
      <c r="H105" s="15">
        <f t="shared" si="0"/>
        <v>0.11805555555555552</v>
      </c>
      <c r="I105" s="16">
        <v>0.34027777777777779</v>
      </c>
      <c r="J105" s="16">
        <v>0.45833333333333331</v>
      </c>
    </row>
    <row r="106" spans="1:10" x14ac:dyDescent="0.2">
      <c r="A106" s="12">
        <v>46136</v>
      </c>
      <c r="B106" s="12" t="s">
        <v>24</v>
      </c>
      <c r="C106" s="13" t="s">
        <v>14</v>
      </c>
      <c r="D106" s="13"/>
      <c r="E106" s="13" t="s">
        <v>15</v>
      </c>
      <c r="F106" s="13" t="s">
        <v>16</v>
      </c>
      <c r="G106" s="14" t="s">
        <v>20</v>
      </c>
      <c r="H106" s="15">
        <f t="shared" si="0"/>
        <v>2.777777777777779E-2</v>
      </c>
      <c r="I106" s="16">
        <v>0.45833333333333331</v>
      </c>
      <c r="J106" s="16">
        <v>0.4861111111111111</v>
      </c>
    </row>
    <row r="107" spans="1:10" x14ac:dyDescent="0.2">
      <c r="A107" s="12">
        <v>46136</v>
      </c>
      <c r="B107" s="12" t="s">
        <v>24</v>
      </c>
      <c r="C107" s="13" t="s">
        <v>14</v>
      </c>
      <c r="D107" s="13"/>
      <c r="E107" s="13" t="s">
        <v>18</v>
      </c>
      <c r="F107" s="13" t="s">
        <v>16</v>
      </c>
      <c r="G107" s="14" t="s">
        <v>44</v>
      </c>
      <c r="H107" s="15">
        <f t="shared" si="0"/>
        <v>5.2083333333333315E-2</v>
      </c>
      <c r="I107" s="16">
        <v>0.4861111111111111</v>
      </c>
      <c r="J107" s="16">
        <v>0.53819444444444442</v>
      </c>
    </row>
    <row r="108" spans="1:10" x14ac:dyDescent="0.2">
      <c r="A108" s="12">
        <v>46136</v>
      </c>
      <c r="B108" s="12" t="s">
        <v>24</v>
      </c>
      <c r="C108" s="13" t="s">
        <v>14</v>
      </c>
      <c r="D108" s="13"/>
      <c r="E108" s="13" t="s">
        <v>18</v>
      </c>
      <c r="F108" s="13" t="s">
        <v>16</v>
      </c>
      <c r="G108" s="14" t="s">
        <v>44</v>
      </c>
      <c r="H108" s="15">
        <f t="shared" si="0"/>
        <v>2.4305555555555469E-2</v>
      </c>
      <c r="I108" s="16">
        <v>0.57986111111111116</v>
      </c>
      <c r="J108" s="16">
        <v>0.60416666666666663</v>
      </c>
    </row>
    <row r="109" spans="1:10" x14ac:dyDescent="0.2">
      <c r="A109" s="12">
        <v>46136</v>
      </c>
      <c r="B109" s="12" t="s">
        <v>24</v>
      </c>
      <c r="C109" s="13" t="s">
        <v>14</v>
      </c>
      <c r="D109" s="13"/>
      <c r="E109" s="13" t="s">
        <v>15</v>
      </c>
      <c r="F109" s="13" t="s">
        <v>16</v>
      </c>
      <c r="G109" s="14" t="s">
        <v>41</v>
      </c>
      <c r="H109" s="15">
        <v>1.1111111111111112E-2</v>
      </c>
      <c r="I109" s="16">
        <v>0.60416666666666663</v>
      </c>
      <c r="J109" s="16">
        <v>0.61527777777777781</v>
      </c>
    </row>
    <row r="110" spans="1:10" x14ac:dyDescent="0.2">
      <c r="A110" s="12">
        <v>46136</v>
      </c>
      <c r="B110" s="12" t="s">
        <v>24</v>
      </c>
      <c r="C110" s="13" t="s">
        <v>14</v>
      </c>
      <c r="D110" s="13"/>
      <c r="E110" s="13" t="s">
        <v>18</v>
      </c>
      <c r="F110" s="13" t="s">
        <v>16</v>
      </c>
      <c r="G110" s="14" t="s">
        <v>44</v>
      </c>
      <c r="H110" s="15">
        <v>7.3611111111111113E-2</v>
      </c>
      <c r="I110" s="16">
        <v>0.61527777777777781</v>
      </c>
      <c r="J110" s="16">
        <v>0.66666666666666663</v>
      </c>
    </row>
    <row r="111" spans="1:10" x14ac:dyDescent="0.2">
      <c r="A111" s="12">
        <v>46136</v>
      </c>
      <c r="B111" s="12" t="s">
        <v>24</v>
      </c>
      <c r="C111" s="13" t="s">
        <v>14</v>
      </c>
      <c r="D111" s="13"/>
      <c r="E111" s="13" t="s">
        <v>15</v>
      </c>
      <c r="F111" s="13" t="s">
        <v>16</v>
      </c>
      <c r="G111" s="14" t="s">
        <v>21</v>
      </c>
      <c r="H111" s="15">
        <v>6.7361111111111108E-2</v>
      </c>
      <c r="I111" s="16">
        <v>0.66666666666666663</v>
      </c>
      <c r="J111" s="16">
        <v>0.73402777777777772</v>
      </c>
    </row>
    <row r="112" spans="1:10" x14ac:dyDescent="0.2">
      <c r="A112" s="22">
        <v>46137</v>
      </c>
      <c r="B112" s="22" t="s">
        <v>27</v>
      </c>
      <c r="C112" s="23"/>
      <c r="D112" s="23"/>
      <c r="E112" s="23"/>
      <c r="F112" s="23"/>
      <c r="G112" s="24"/>
      <c r="H112" s="25">
        <f t="shared" si="0"/>
        <v>0</v>
      </c>
      <c r="I112" s="26"/>
      <c r="J112" s="26"/>
    </row>
    <row r="113" spans="1:10" x14ac:dyDescent="0.2">
      <c r="A113" s="22">
        <v>46138</v>
      </c>
      <c r="B113" s="22" t="s">
        <v>28</v>
      </c>
      <c r="C113" s="23"/>
      <c r="D113" s="23"/>
      <c r="E113" s="23"/>
      <c r="F113" s="23"/>
      <c r="G113" s="24"/>
      <c r="H113" s="25">
        <f t="shared" si="0"/>
        <v>0</v>
      </c>
      <c r="I113" s="26"/>
      <c r="J113" s="26"/>
    </row>
    <row r="114" spans="1:10" x14ac:dyDescent="0.2">
      <c r="A114" s="17">
        <v>46139</v>
      </c>
      <c r="B114" s="17" t="s">
        <v>29</v>
      </c>
      <c r="C114" s="18" t="s">
        <v>14</v>
      </c>
      <c r="D114" s="18"/>
      <c r="E114" s="18" t="s">
        <v>25</v>
      </c>
      <c r="F114" s="18" t="s">
        <v>16</v>
      </c>
      <c r="G114" s="19" t="s">
        <v>45</v>
      </c>
      <c r="H114" s="20">
        <f t="shared" si="0"/>
        <v>0.33333333333333331</v>
      </c>
      <c r="I114" s="21">
        <v>0.33333333333333331</v>
      </c>
      <c r="J114" s="21">
        <v>0.66666666666666663</v>
      </c>
    </row>
    <row r="115" spans="1:10" x14ac:dyDescent="0.2">
      <c r="A115" s="12">
        <v>46140</v>
      </c>
      <c r="B115" s="12" t="s">
        <v>31</v>
      </c>
      <c r="C115" s="13" t="s">
        <v>14</v>
      </c>
      <c r="D115" s="13"/>
      <c r="E115" s="13" t="s">
        <v>15</v>
      </c>
      <c r="F115" s="13" t="s">
        <v>16</v>
      </c>
      <c r="G115" s="14" t="s">
        <v>39</v>
      </c>
      <c r="H115" s="15">
        <f t="shared" si="0"/>
        <v>6.9444444444444753E-3</v>
      </c>
      <c r="I115" s="16">
        <v>0.33333333333333331</v>
      </c>
      <c r="J115" s="16">
        <v>0.34027777777777779</v>
      </c>
    </row>
    <row r="116" spans="1:10" x14ac:dyDescent="0.2">
      <c r="A116" s="12">
        <v>46140</v>
      </c>
      <c r="B116" s="12" t="s">
        <v>31</v>
      </c>
      <c r="C116" s="13" t="s">
        <v>14</v>
      </c>
      <c r="D116" s="13"/>
      <c r="E116" s="13" t="s">
        <v>18</v>
      </c>
      <c r="F116" s="13" t="s">
        <v>16</v>
      </c>
      <c r="G116" s="14" t="s">
        <v>44</v>
      </c>
      <c r="H116" s="15">
        <v>0.11805555555555555</v>
      </c>
      <c r="I116" s="16">
        <v>0.34027777777777779</v>
      </c>
      <c r="J116" s="16">
        <v>0.45833333333333331</v>
      </c>
    </row>
    <row r="117" spans="1:10" x14ac:dyDescent="0.2">
      <c r="A117" s="12">
        <v>46140</v>
      </c>
      <c r="B117" s="12" t="s">
        <v>31</v>
      </c>
      <c r="C117" s="13" t="s">
        <v>14</v>
      </c>
      <c r="D117" s="13"/>
      <c r="E117" s="13" t="s">
        <v>15</v>
      </c>
      <c r="F117" s="13" t="s">
        <v>16</v>
      </c>
      <c r="G117" s="14" t="s">
        <v>20</v>
      </c>
      <c r="H117" s="15">
        <v>4.1666666666666664E-2</v>
      </c>
      <c r="I117" s="16">
        <v>0.45833333333333331</v>
      </c>
      <c r="J117" s="16">
        <v>0.5</v>
      </c>
    </row>
    <row r="118" spans="1:10" x14ac:dyDescent="0.2">
      <c r="A118" s="12">
        <v>46140</v>
      </c>
      <c r="B118" s="12" t="s">
        <v>31</v>
      </c>
      <c r="C118" s="13" t="s">
        <v>14</v>
      </c>
      <c r="D118" s="13"/>
      <c r="E118" s="13" t="s">
        <v>18</v>
      </c>
      <c r="F118" s="13" t="s">
        <v>16</v>
      </c>
      <c r="G118" s="14" t="s">
        <v>44</v>
      </c>
      <c r="H118" s="15">
        <v>6.25E-2</v>
      </c>
      <c r="I118" s="16">
        <v>0.54166666666666663</v>
      </c>
      <c r="J118" s="16">
        <v>0.60416666666666663</v>
      </c>
    </row>
    <row r="119" spans="1:10" x14ac:dyDescent="0.2">
      <c r="A119" s="12">
        <v>46140</v>
      </c>
      <c r="B119" s="12" t="s">
        <v>31</v>
      </c>
      <c r="C119" s="13" t="s">
        <v>14</v>
      </c>
      <c r="D119" s="13"/>
      <c r="E119" s="13" t="s">
        <v>15</v>
      </c>
      <c r="F119" s="13" t="s">
        <v>16</v>
      </c>
      <c r="G119" s="14" t="s">
        <v>46</v>
      </c>
      <c r="H119" s="15">
        <v>1.1111111111111112E-2</v>
      </c>
      <c r="I119" s="16">
        <v>0.60416666666666663</v>
      </c>
      <c r="J119" s="16">
        <v>0.61527777777777781</v>
      </c>
    </row>
    <row r="120" spans="1:10" x14ac:dyDescent="0.2">
      <c r="A120" s="12">
        <v>46140</v>
      </c>
      <c r="B120" s="12" t="s">
        <v>31</v>
      </c>
      <c r="C120" s="13" t="s">
        <v>14</v>
      </c>
      <c r="D120" s="13"/>
      <c r="E120" s="13" t="s">
        <v>18</v>
      </c>
      <c r="F120" s="13" t="s">
        <v>16</v>
      </c>
      <c r="G120" s="14" t="s">
        <v>44</v>
      </c>
      <c r="H120" s="15">
        <v>5.1388888888888887E-2</v>
      </c>
      <c r="I120" s="16">
        <v>0.61527777777777781</v>
      </c>
      <c r="J120" s="16">
        <v>0.66666666666666663</v>
      </c>
    </row>
    <row r="121" spans="1:10" x14ac:dyDescent="0.2">
      <c r="A121" s="12">
        <v>46140</v>
      </c>
      <c r="B121" s="12" t="s">
        <v>31</v>
      </c>
      <c r="C121" s="13" t="s">
        <v>14</v>
      </c>
      <c r="D121" s="13"/>
      <c r="E121" s="13" t="s">
        <v>15</v>
      </c>
      <c r="F121" s="13" t="s">
        <v>16</v>
      </c>
      <c r="G121" s="14" t="s">
        <v>21</v>
      </c>
      <c r="H121" s="15">
        <v>4.1666666666666664E-2</v>
      </c>
      <c r="I121" s="16">
        <v>0.66666666666666663</v>
      </c>
      <c r="J121" s="16">
        <v>0.70833333333333337</v>
      </c>
    </row>
    <row r="122" spans="1:10" x14ac:dyDescent="0.2">
      <c r="A122" s="12">
        <v>46141</v>
      </c>
      <c r="B122" s="12" t="s">
        <v>13</v>
      </c>
      <c r="C122" s="13" t="s">
        <v>14</v>
      </c>
      <c r="D122" s="13"/>
      <c r="E122" s="13" t="s">
        <v>15</v>
      </c>
      <c r="F122" s="13" t="s">
        <v>16</v>
      </c>
      <c r="G122" s="14" t="s">
        <v>39</v>
      </c>
      <c r="H122" s="15">
        <v>1.5972222222222221E-2</v>
      </c>
      <c r="I122" s="16">
        <v>0.33333333333333331</v>
      </c>
      <c r="J122" s="16">
        <v>0.34930555555555554</v>
      </c>
    </row>
    <row r="123" spans="1:10" x14ac:dyDescent="0.2">
      <c r="A123" s="12">
        <v>46141</v>
      </c>
      <c r="B123" s="12" t="s">
        <v>13</v>
      </c>
      <c r="C123" s="13" t="s">
        <v>14</v>
      </c>
      <c r="D123" s="13"/>
      <c r="E123" s="13" t="s">
        <v>18</v>
      </c>
      <c r="F123" s="13" t="s">
        <v>16</v>
      </c>
      <c r="G123" s="14" t="s">
        <v>47</v>
      </c>
      <c r="H123" s="15">
        <v>5.2083333333333336E-2</v>
      </c>
      <c r="I123" s="16">
        <v>0.34930555555555554</v>
      </c>
      <c r="J123" s="16">
        <v>0.40138888888888891</v>
      </c>
    </row>
    <row r="124" spans="1:10" x14ac:dyDescent="0.2">
      <c r="A124" s="12"/>
      <c r="B124" s="12"/>
      <c r="C124" s="13"/>
      <c r="D124" s="13"/>
      <c r="E124" s="13" t="s">
        <v>15</v>
      </c>
      <c r="F124" s="13" t="s">
        <v>16</v>
      </c>
      <c r="G124" s="14" t="s">
        <v>46</v>
      </c>
      <c r="H124" s="15">
        <v>5.2083333333333336E-2</v>
      </c>
      <c r="I124" s="16">
        <v>0.40138888888888891</v>
      </c>
      <c r="J124" s="16">
        <v>0.45347222222222222</v>
      </c>
    </row>
    <row r="125" spans="1:10" x14ac:dyDescent="0.2">
      <c r="A125" s="12">
        <v>46141</v>
      </c>
      <c r="B125" s="12" t="s">
        <v>13</v>
      </c>
      <c r="C125" s="13" t="s">
        <v>14</v>
      </c>
      <c r="D125" s="13"/>
      <c r="E125" s="13" t="s">
        <v>15</v>
      </c>
      <c r="F125" s="13" t="s">
        <v>16</v>
      </c>
      <c r="G125" s="14" t="s">
        <v>20</v>
      </c>
      <c r="H125" s="15">
        <v>4.1666666666666664E-2</v>
      </c>
      <c r="I125" s="16">
        <v>0.45833333333333331</v>
      </c>
      <c r="J125" s="16">
        <v>0.5</v>
      </c>
    </row>
    <row r="126" spans="1:10" x14ac:dyDescent="0.2">
      <c r="A126" s="12">
        <v>46141</v>
      </c>
      <c r="B126" s="12" t="s">
        <v>13</v>
      </c>
      <c r="C126" s="13" t="s">
        <v>14</v>
      </c>
      <c r="D126" s="13"/>
      <c r="E126" s="13" t="s">
        <v>18</v>
      </c>
      <c r="F126" s="13" t="s">
        <v>16</v>
      </c>
      <c r="G126" s="14" t="s">
        <v>47</v>
      </c>
      <c r="H126" s="15">
        <v>0.125</v>
      </c>
      <c r="I126" s="16">
        <v>0.54166666666666663</v>
      </c>
      <c r="J126" s="16">
        <v>0.66666666666666663</v>
      </c>
    </row>
    <row r="127" spans="1:10" x14ac:dyDescent="0.2">
      <c r="A127" s="12">
        <v>46141</v>
      </c>
      <c r="B127" s="12" t="s">
        <v>13</v>
      </c>
      <c r="C127" s="13" t="s">
        <v>14</v>
      </c>
      <c r="D127" s="13"/>
      <c r="E127" s="13" t="s">
        <v>15</v>
      </c>
      <c r="F127" s="13" t="s">
        <v>16</v>
      </c>
      <c r="G127" s="14" t="s">
        <v>21</v>
      </c>
      <c r="H127" s="15">
        <v>4.1666666666666664E-2</v>
      </c>
      <c r="I127" s="16">
        <v>0.66666666666666663</v>
      </c>
      <c r="J127" s="16">
        <v>0.70833333333333337</v>
      </c>
    </row>
    <row r="128" spans="1:10" x14ac:dyDescent="0.2">
      <c r="A128" s="12">
        <v>46142</v>
      </c>
      <c r="B128" s="12" t="s">
        <v>22</v>
      </c>
      <c r="C128" s="13" t="s">
        <v>14</v>
      </c>
      <c r="D128" s="13"/>
      <c r="E128" s="13" t="s">
        <v>15</v>
      </c>
      <c r="F128" s="13" t="s">
        <v>16</v>
      </c>
      <c r="G128" s="14" t="s">
        <v>39</v>
      </c>
      <c r="H128" s="15">
        <v>1.4583333333333334E-2</v>
      </c>
      <c r="I128" s="16">
        <v>0.33333333333333331</v>
      </c>
      <c r="J128" s="16">
        <v>0.34791666666666665</v>
      </c>
    </row>
    <row r="129" spans="1:10" x14ac:dyDescent="0.2">
      <c r="A129" s="12">
        <v>46142</v>
      </c>
      <c r="B129" s="12" t="s">
        <v>22</v>
      </c>
      <c r="C129" s="13" t="s">
        <v>14</v>
      </c>
      <c r="D129" s="13"/>
      <c r="E129" s="13" t="s">
        <v>18</v>
      </c>
      <c r="F129" s="13" t="s">
        <v>16</v>
      </c>
      <c r="G129" s="14" t="s">
        <v>47</v>
      </c>
      <c r="H129" s="15">
        <v>6.8750000000000006E-2</v>
      </c>
      <c r="I129" s="16">
        <v>0.34791666666666665</v>
      </c>
      <c r="J129" s="16">
        <v>0.41666666666666669</v>
      </c>
    </row>
    <row r="130" spans="1:10" x14ac:dyDescent="0.2">
      <c r="A130" s="12">
        <v>46142</v>
      </c>
      <c r="B130" s="12" t="s">
        <v>22</v>
      </c>
      <c r="C130" s="13" t="s">
        <v>14</v>
      </c>
      <c r="D130" s="13"/>
      <c r="E130" s="13" t="s">
        <v>15</v>
      </c>
      <c r="F130" s="13" t="s">
        <v>16</v>
      </c>
      <c r="G130" s="14" t="s">
        <v>46</v>
      </c>
      <c r="H130" s="15">
        <v>4.1666666666666664E-2</v>
      </c>
      <c r="I130" s="16">
        <v>0.41666666666666669</v>
      </c>
      <c r="J130" s="16">
        <v>0.45833333333333331</v>
      </c>
    </row>
    <row r="131" spans="1:10" x14ac:dyDescent="0.2">
      <c r="A131" s="12">
        <v>46142</v>
      </c>
      <c r="B131" s="12" t="s">
        <v>22</v>
      </c>
      <c r="C131" s="13" t="s">
        <v>14</v>
      </c>
      <c r="D131" s="13"/>
      <c r="E131" s="13" t="s">
        <v>18</v>
      </c>
      <c r="F131" s="13" t="s">
        <v>16</v>
      </c>
      <c r="G131" s="14" t="s">
        <v>47</v>
      </c>
      <c r="H131" s="15">
        <v>4.1666666666666664E-2</v>
      </c>
      <c r="I131" s="16">
        <v>0.45833333333333331</v>
      </c>
      <c r="J131" s="16">
        <v>0.5</v>
      </c>
    </row>
    <row r="132" spans="1:10" x14ac:dyDescent="0.2">
      <c r="A132" s="12">
        <v>46142</v>
      </c>
      <c r="B132" s="12" t="s">
        <v>22</v>
      </c>
      <c r="C132" s="13" t="s">
        <v>14</v>
      </c>
      <c r="D132" s="13"/>
      <c r="E132" s="13" t="s">
        <v>18</v>
      </c>
      <c r="F132" s="13" t="s">
        <v>16</v>
      </c>
      <c r="G132" s="14" t="s">
        <v>47</v>
      </c>
      <c r="H132" s="15">
        <v>6.25E-2</v>
      </c>
      <c r="I132" s="16">
        <v>0.54166666666666663</v>
      </c>
      <c r="J132" s="16">
        <v>0.60416666666666663</v>
      </c>
    </row>
    <row r="133" spans="1:10" x14ac:dyDescent="0.2">
      <c r="A133" s="12">
        <v>46142</v>
      </c>
      <c r="B133" s="12" t="s">
        <v>22</v>
      </c>
      <c r="C133" s="13" t="s">
        <v>14</v>
      </c>
      <c r="D133" s="13"/>
      <c r="E133" s="13" t="s">
        <v>15</v>
      </c>
      <c r="F133" s="13" t="s">
        <v>16</v>
      </c>
      <c r="G133" s="14" t="s">
        <v>46</v>
      </c>
      <c r="H133" s="15">
        <v>6.25E-2</v>
      </c>
      <c r="I133" s="16">
        <v>0.60416666666666663</v>
      </c>
      <c r="J133" s="16">
        <v>0.66666666666666663</v>
      </c>
    </row>
    <row r="134" spans="1:10" ht="25.2" x14ac:dyDescent="0.2">
      <c r="A134" s="12">
        <v>46142</v>
      </c>
      <c r="B134" s="12" t="s">
        <v>22</v>
      </c>
      <c r="C134" s="13" t="s">
        <v>14</v>
      </c>
      <c r="D134" s="13"/>
      <c r="E134" s="13" t="s">
        <v>15</v>
      </c>
      <c r="F134" s="13" t="s">
        <v>16</v>
      </c>
      <c r="G134" s="14" t="s">
        <v>48</v>
      </c>
      <c r="H134" s="15">
        <v>4.1666666666666664E-2</v>
      </c>
      <c r="I134" s="16">
        <v>0.66666666666666663</v>
      </c>
      <c r="J134" s="16">
        <v>0.70833333333333337</v>
      </c>
    </row>
    <row r="135" spans="1:10" x14ac:dyDescent="0.2">
      <c r="A135" s="12">
        <v>46142</v>
      </c>
      <c r="B135" s="12" t="s">
        <v>22</v>
      </c>
      <c r="C135" s="13" t="s">
        <v>14</v>
      </c>
      <c r="D135" s="13"/>
      <c r="E135" s="13" t="s">
        <v>15</v>
      </c>
      <c r="F135" s="13" t="s">
        <v>16</v>
      </c>
      <c r="G135" s="14" t="s">
        <v>21</v>
      </c>
      <c r="H135" s="15">
        <f t="shared" si="0"/>
        <v>6.9444444444444198E-3</v>
      </c>
      <c r="I135" s="16">
        <v>0.70833333333333337</v>
      </c>
      <c r="J135" s="16">
        <v>0.71527777777777779</v>
      </c>
    </row>
    <row r="136" spans="1:10" ht="13.95" customHeight="1" thickBot="1" x14ac:dyDescent="0.25">
      <c r="A136" s="6"/>
      <c r="B136" s="6"/>
      <c r="G136" s="3"/>
      <c r="H136" s="27"/>
      <c r="I136" s="28"/>
      <c r="J136" s="28"/>
    </row>
    <row r="137" spans="1:10" ht="13.95" customHeight="1" x14ac:dyDescent="0.25">
      <c r="A137" s="29"/>
      <c r="B137" s="29"/>
      <c r="C137" s="30"/>
      <c r="D137" s="31"/>
      <c r="E137" s="32" t="s">
        <v>49</v>
      </c>
      <c r="F137" s="33">
        <v>152</v>
      </c>
      <c r="H137" s="3"/>
    </row>
    <row r="138" spans="1:10" ht="13.95" customHeight="1" thickBot="1" x14ac:dyDescent="0.3">
      <c r="A138" s="29"/>
      <c r="B138" s="29"/>
      <c r="C138" s="34"/>
      <c r="D138" s="35"/>
      <c r="E138" s="36" t="s">
        <v>50</v>
      </c>
      <c r="F138" s="37">
        <v>19</v>
      </c>
      <c r="H138" s="3"/>
    </row>
    <row r="139" spans="1:10" ht="13.95" customHeight="1" thickBot="1" x14ac:dyDescent="0.3">
      <c r="A139" s="38" t="s">
        <v>51</v>
      </c>
      <c r="B139" s="38"/>
      <c r="C139" s="38"/>
      <c r="D139" s="39"/>
      <c r="E139" s="35"/>
      <c r="F139" s="35"/>
      <c r="H139" s="3"/>
    </row>
    <row r="140" spans="1:10" ht="13.8" x14ac:dyDescent="0.25">
      <c r="A140" s="40"/>
      <c r="B140" s="40"/>
      <c r="C140" s="31"/>
      <c r="D140" s="31"/>
      <c r="E140" s="41" t="s">
        <v>52</v>
      </c>
      <c r="F140" s="42">
        <f>SUMIF(F9:F135,"Billable",H9:H135)</f>
        <v>0</v>
      </c>
      <c r="H140" s="43"/>
    </row>
    <row r="141" spans="1:10" ht="15" customHeight="1" thickBot="1" x14ac:dyDescent="0.3">
      <c r="A141" s="44" t="s">
        <v>53</v>
      </c>
      <c r="B141" s="44"/>
      <c r="C141" s="44"/>
      <c r="D141" s="45"/>
      <c r="E141" s="46" t="s">
        <v>54</v>
      </c>
      <c r="F141" s="47">
        <f>SUMIF(F9:F135,"Non-Billable",H9:H135)</f>
        <v>7.5015046296296291</v>
      </c>
      <c r="H141" s="3"/>
    </row>
    <row r="142" spans="1:10" ht="14.4" thickBot="1" x14ac:dyDescent="0.3">
      <c r="A142" s="35"/>
      <c r="B142" s="35"/>
      <c r="C142" s="35"/>
      <c r="D142" s="35"/>
      <c r="E142" s="48" t="s">
        <v>55</v>
      </c>
      <c r="F142" s="49">
        <f>F140+F141</f>
        <v>7.5015046296296291</v>
      </c>
      <c r="H142" s="3"/>
    </row>
    <row r="143" spans="1:10" ht="13.8" thickBot="1" x14ac:dyDescent="0.3">
      <c r="A143" s="35"/>
      <c r="B143" s="35"/>
      <c r="C143" s="35"/>
      <c r="D143" s="35"/>
      <c r="E143" s="35"/>
      <c r="F143" s="35"/>
      <c r="H143" s="3"/>
    </row>
    <row r="144" spans="1:10" ht="13.8" thickBot="1" x14ac:dyDescent="0.3">
      <c r="A144" s="35"/>
      <c r="B144" s="35"/>
      <c r="C144" s="35"/>
      <c r="D144" s="35"/>
      <c r="E144" s="50" t="s">
        <v>56</v>
      </c>
      <c r="F144" s="51"/>
      <c r="H144" s="3"/>
    </row>
    <row r="145" spans="5:8" ht="13.2" thickBot="1" x14ac:dyDescent="0.25">
      <c r="E145" s="52"/>
      <c r="H145" s="3"/>
    </row>
  </sheetData>
  <mergeCells count="2">
    <mergeCell ref="A139:C139"/>
    <mergeCell ref="A141:C141"/>
  </mergeCells>
  <conditionalFormatting sqref="A6:B6 D7:E7">
    <cfRule type="containsText" dxfId="15" priority="10" operator="containsText" text="Religious Leave">
      <formula>NOT(ISERROR(SEARCH("Religious Leave",A6)))</formula>
    </cfRule>
    <cfRule type="containsText" dxfId="14" priority="11" operator="containsText" text="Birthday Leave">
      <formula>NOT(ISERROR(SEARCH("Birthday Leave",A6)))</formula>
    </cfRule>
    <cfRule type="containsText" dxfId="13" priority="12" operator="containsText" text="Study Leave">
      <formula>NOT(ISERROR(SEARCH("Study Leave",A6)))</formula>
    </cfRule>
    <cfRule type="containsText" dxfId="12" priority="13" operator="containsText" text="Family Responsibility Leave">
      <formula>NOT(ISERROR(SEARCH("Family Responsibility Leave",A6)))</formula>
    </cfRule>
    <cfRule type="containsText" dxfId="11" priority="14" operator="containsText" text="Sick Leave">
      <formula>NOT(ISERROR(SEARCH("Sick Leave",A6)))</formula>
    </cfRule>
    <cfRule type="containsText" dxfId="10" priority="15" operator="containsText" text="Annual Leave">
      <formula>NOT(ISERROR(SEARCH("Annual Leave",A6)))</formula>
    </cfRule>
    <cfRule type="cellIs" dxfId="9" priority="16" operator="equal">
      <formula>"Public Holiday"</formula>
    </cfRule>
  </conditionalFormatting>
  <conditionalFormatting sqref="B8:B145">
    <cfRule type="containsText" dxfId="8" priority="1" operator="containsText" text="Saturday">
      <formula>NOT(ISERROR(SEARCH("Saturday",B8)))</formula>
    </cfRule>
    <cfRule type="containsText" dxfId="7" priority="2" operator="containsText" text="Sunday">
      <formula>NOT(ISERROR(SEARCH("Sunday",B8)))</formula>
    </cfRule>
  </conditionalFormatting>
  <conditionalFormatting sqref="D137:E137 D139:E141 E144">
    <cfRule type="containsText" dxfId="6" priority="3" operator="containsText" text="Religious Leave">
      <formula>NOT(ISERROR(SEARCH("Religious Leave",D137)))</formula>
    </cfRule>
    <cfRule type="containsText" dxfId="5" priority="4" operator="containsText" text="Birthday Leave">
      <formula>NOT(ISERROR(SEARCH("Birthday Leave",D137)))</formula>
    </cfRule>
    <cfRule type="containsText" dxfId="4" priority="5" operator="containsText" text="Study Leave">
      <formula>NOT(ISERROR(SEARCH("Study Leave",D137)))</formula>
    </cfRule>
    <cfRule type="containsText" dxfId="3" priority="6" operator="containsText" text="Family Responsibility Leave">
      <formula>NOT(ISERROR(SEARCH("Family Responsibility Leave",D137)))</formula>
    </cfRule>
    <cfRule type="containsText" dxfId="2" priority="7" operator="containsText" text="Sick Leave">
      <formula>NOT(ISERROR(SEARCH("Sick Leave",D137)))</formula>
    </cfRule>
    <cfRule type="containsText" dxfId="1" priority="8" operator="containsText" text="Annual Leave">
      <formula>NOT(ISERROR(SEARCH("Annual Leave",D137)))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6" xr:uid="{96EAE187-43BC-4F46-9C0C-6F3010AC4861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Charmane Mchunu</dc:creator>
  <cp:lastModifiedBy>Charmane Mchunu</cp:lastModifiedBy>
  <dcterms:created xsi:type="dcterms:W3CDTF">2026-06-17T06:42:02Z</dcterms:created>
  <dcterms:modified xsi:type="dcterms:W3CDTF">2026-06-17T06:44:02Z</dcterms:modified>
</cp:coreProperties>
</file>