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rmaine Mchunu\Downloads\"/>
    </mc:Choice>
  </mc:AlternateContent>
  <xr:revisionPtr revIDLastSave="0" documentId="8_{E6926CC5-1FAF-4BE6-8523-1006495B031A}" xr6:coauthVersionLast="47" xr6:coauthVersionMax="47" xr10:uidLastSave="{00000000-0000-0000-0000-000000000000}"/>
  <bookViews>
    <workbookView xWindow="1848" yWindow="1848" windowWidth="17280" windowHeight="8880" xr2:uid="{57BE6603-E283-4C4F-87FC-B237293375D1}"/>
  </bookViews>
  <sheets>
    <sheet name="M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9" i="1" l="1"/>
  <c r="F138" i="1"/>
  <c r="H133" i="1"/>
  <c r="H132" i="1"/>
  <c r="H126" i="1"/>
  <c r="H124" i="1"/>
  <c r="H114" i="1"/>
  <c r="H99" i="1"/>
  <c r="H98" i="1"/>
  <c r="H97" i="1"/>
  <c r="H91" i="1"/>
  <c r="H90" i="1"/>
  <c r="H80" i="1"/>
  <c r="H66" i="1"/>
  <c r="H65" i="1"/>
  <c r="H64" i="1"/>
  <c r="H63" i="1"/>
  <c r="H62" i="1"/>
  <c r="H61" i="1"/>
  <c r="H46" i="1"/>
  <c r="H45" i="1"/>
  <c r="H44" i="1"/>
  <c r="H39" i="1"/>
  <c r="H12" i="1"/>
  <c r="H11" i="1"/>
  <c r="H10" i="1"/>
  <c r="H9" i="1"/>
  <c r="F140" i="1" l="1"/>
  <c r="B6" i="1"/>
</calcChain>
</file>

<file path=xl/sharedStrings.xml><?xml version="1.0" encoding="utf-8"?>
<sst xmlns="http://schemas.openxmlformats.org/spreadsheetml/2006/main" count="606" uniqueCount="72">
  <si>
    <t>Consultant</t>
  </si>
  <si>
    <t xml:space="preserve">Charmane 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</si>
  <si>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</si>
  <si>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</si>
  <si>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</si>
  <si>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</si>
  <si>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</si>
  <si>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</si>
  <si>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</si>
  <si>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</si>
  <si>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</si>
  <si>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</si>
  <si>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</si>
  <si>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</si>
  <si>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Internal Sambe</t>
  </si>
  <si>
    <t>Public Holiday</t>
  </si>
  <si>
    <t>Non-Billable</t>
  </si>
  <si>
    <t>Worker's Day</t>
  </si>
  <si>
    <t>Saturday</t>
  </si>
  <si>
    <t>Sunday</t>
  </si>
  <si>
    <t>Monday</t>
  </si>
  <si>
    <t>Travel</t>
  </si>
  <si>
    <t>Travelling to Discovery</t>
  </si>
  <si>
    <t>Other</t>
  </si>
  <si>
    <t>Welcome &amp; Orientation</t>
  </si>
  <si>
    <t>Culture,Purpose,Values The Discovery Story</t>
  </si>
  <si>
    <t>Values Workshop</t>
  </si>
  <si>
    <t>Culture close off</t>
  </si>
  <si>
    <t>Travelling from Discovery</t>
  </si>
  <si>
    <t>Tuesday</t>
  </si>
  <si>
    <t>Ethics Workshop</t>
  </si>
  <si>
    <t>Discovery Sustainability</t>
  </si>
  <si>
    <t>Give To Move</t>
  </si>
  <si>
    <t>Registration &amp; Briefing</t>
  </si>
  <si>
    <t>Force for Good</t>
  </si>
  <si>
    <t>Wednesday</t>
  </si>
  <si>
    <t>Discovery Green</t>
  </si>
  <si>
    <t>Discovery Life Presentation</t>
  </si>
  <si>
    <t>Discovery Health Presentation</t>
  </si>
  <si>
    <t>Vitality RSA</t>
  </si>
  <si>
    <t>Discovery Insure</t>
  </si>
  <si>
    <t>Discovery Bank</t>
  </si>
  <si>
    <t>Thursday</t>
  </si>
  <si>
    <t>Group Gym &amp; Track</t>
  </si>
  <si>
    <t>DSY Health &amp; PHP</t>
  </si>
  <si>
    <t>Bank in Action</t>
  </si>
  <si>
    <t>People Presentation</t>
  </si>
  <si>
    <t>Wow Expo</t>
  </si>
  <si>
    <t>Amazing Race</t>
  </si>
  <si>
    <t>Sambe Check in</t>
  </si>
  <si>
    <t>Meeting</t>
  </si>
  <si>
    <t>High Performers Daily Standup</t>
  </si>
  <si>
    <t>Research</t>
  </si>
  <si>
    <t>Udemy:Database Adminstration</t>
  </si>
  <si>
    <t>Project Discussion</t>
  </si>
  <si>
    <t>Midday Checkin</t>
  </si>
  <si>
    <t>High Performers Retrospective</t>
  </si>
  <si>
    <t>Annual Leave</t>
  </si>
  <si>
    <t>Grad Leave</t>
  </si>
  <si>
    <t>Udemy : SSIS</t>
  </si>
  <si>
    <t>Udemy:T-sql</t>
  </si>
  <si>
    <t>Unified Dashboard presentation</t>
  </si>
  <si>
    <t>Udemy : T-sql</t>
  </si>
  <si>
    <t>Final Dashboard Presentation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</si>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</sst>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h:mm;@"/>
  </numFmts>
  <fonts count="12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Tw Cen MT"/>
      <family val="2"/>
      <scheme val="minor"/>
    </font>
    <font>
      <b/>
      <sz val="9"/>
      <name val="Tw Cen MT"/>
      <family val="2"/>
      <scheme val="minor"/>
    </font>
    <font>
      <sz val="10"/>
      <color theme="1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164" fontId="3" fillId="2" borderId="0" xfId="0" applyNumberFormat="1" applyFont="1" applyFill="1" applyAlignment="1">
      <alignment wrapText="1"/>
    </xf>
    <xf numFmtId="0" fontId="3" fillId="0" borderId="0" xfId="0" applyFont="1" applyAlignment="1">
      <alignment horizontal="left"/>
    </xf>
    <xf numFmtId="0" fontId="4" fillId="3" borderId="1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14" fontId="3" fillId="4" borderId="4" xfId="0" applyNumberFormat="1" applyFont="1" applyFill="1" applyBorder="1"/>
    <xf numFmtId="0" fontId="3" fillId="4" borderId="4" xfId="0" applyFont="1" applyFill="1" applyBorder="1"/>
    <xf numFmtId="0" fontId="3" fillId="4" borderId="4" xfId="0" applyFont="1" applyFill="1" applyBorder="1" applyAlignment="1">
      <alignment wrapText="1"/>
    </xf>
    <xf numFmtId="165" fontId="3" fillId="4" borderId="4" xfId="0" applyNumberFormat="1" applyFont="1" applyFill="1" applyBorder="1"/>
    <xf numFmtId="165" fontId="3" fillId="4" borderId="4" xfId="0" applyNumberFormat="1" applyFont="1" applyFill="1" applyBorder="1" applyAlignment="1">
      <alignment wrapText="1"/>
    </xf>
    <xf numFmtId="14" fontId="3" fillId="5" borderId="4" xfId="0" applyNumberFormat="1" applyFont="1" applyFill="1" applyBorder="1"/>
    <xf numFmtId="0" fontId="3" fillId="5" borderId="4" xfId="0" applyFont="1" applyFill="1" applyBorder="1"/>
    <xf numFmtId="0" fontId="3" fillId="5" borderId="4" xfId="0" applyFont="1" applyFill="1" applyBorder="1" applyAlignment="1">
      <alignment wrapText="1"/>
    </xf>
    <xf numFmtId="165" fontId="3" fillId="5" borderId="4" xfId="0" applyNumberFormat="1" applyFont="1" applyFill="1" applyBorder="1"/>
    <xf numFmtId="165" fontId="3" fillId="5" borderId="4" xfId="0" applyNumberFormat="1" applyFont="1" applyFill="1" applyBorder="1" applyAlignment="1">
      <alignment wrapText="1"/>
    </xf>
    <xf numFmtId="14" fontId="3" fillId="0" borderId="4" xfId="0" applyNumberFormat="1" applyFont="1" applyBorder="1"/>
    <xf numFmtId="0" fontId="3" fillId="0" borderId="4" xfId="0" applyFont="1" applyBorder="1"/>
    <xf numFmtId="0" fontId="3" fillId="0" borderId="4" xfId="0" applyFont="1" applyBorder="1" applyAlignment="1">
      <alignment wrapText="1"/>
    </xf>
    <xf numFmtId="165" fontId="3" fillId="0" borderId="4" xfId="0" applyNumberFormat="1" applyFont="1" applyBorder="1"/>
    <xf numFmtId="165" fontId="3" fillId="0" borderId="4" xfId="0" applyNumberFormat="1" applyFont="1" applyBorder="1" applyAlignment="1">
      <alignment wrapText="1"/>
    </xf>
    <xf numFmtId="0" fontId="5" fillId="5" borderId="4" xfId="0" applyFont="1" applyFill="1" applyBorder="1"/>
    <xf numFmtId="0" fontId="2" fillId="5" borderId="4" xfId="0" applyFont="1" applyFill="1" applyBorder="1"/>
    <xf numFmtId="14" fontId="3" fillId="0" borderId="0" xfId="0" applyNumberFormat="1" applyFont="1"/>
    <xf numFmtId="0" fontId="5" fillId="0" borderId="0" xfId="0" applyFont="1"/>
    <xf numFmtId="165" fontId="2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6" fillId="0" borderId="0" xfId="0" applyFont="1" applyAlignment="1">
      <alignment horizontal="right"/>
    </xf>
    <xf numFmtId="0" fontId="7" fillId="0" borderId="5" xfId="0" applyFont="1" applyBorder="1"/>
    <xf numFmtId="0" fontId="5" fillId="0" borderId="6" xfId="0" applyFont="1" applyBorder="1" applyAlignment="1">
      <alignment horizontal="right" wrapText="1"/>
    </xf>
    <xf numFmtId="20" fontId="6" fillId="0" borderId="0" xfId="0" applyNumberFormat="1" applyFont="1"/>
    <xf numFmtId="0" fontId="7" fillId="0" borderId="0" xfId="0" applyFont="1"/>
    <xf numFmtId="0" fontId="7" fillId="0" borderId="7" xfId="0" applyFont="1" applyBorder="1"/>
    <xf numFmtId="0" fontId="7" fillId="0" borderId="8" xfId="0" applyFont="1" applyBorder="1" applyAlignment="1">
      <alignment horizontal="right" wrapText="1"/>
    </xf>
    <xf numFmtId="49" fontId="8" fillId="0" borderId="9" xfId="0" applyNumberFormat="1" applyFont="1" applyBorder="1" applyAlignment="1">
      <alignment horizontal="left" vertical="top"/>
    </xf>
    <xf numFmtId="49" fontId="6" fillId="0" borderId="0" xfId="0" applyNumberFormat="1" applyFont="1" applyAlignment="1">
      <alignment vertical="top"/>
    </xf>
    <xf numFmtId="0" fontId="9" fillId="0" borderId="0" xfId="0" applyFont="1" applyAlignment="1">
      <alignment horizontal="left" vertical="top"/>
    </xf>
    <xf numFmtId="0" fontId="1" fillId="0" borderId="5" xfId="0" applyFont="1" applyBorder="1"/>
    <xf numFmtId="164" fontId="7" fillId="0" borderId="6" xfId="0" applyNumberFormat="1" applyFont="1" applyBorder="1" applyAlignment="1">
      <alignment horizontal="right" wrapText="1"/>
    </xf>
    <xf numFmtId="164" fontId="3" fillId="0" borderId="0" xfId="0" applyNumberFormat="1" applyFont="1"/>
    <xf numFmtId="0" fontId="8" fillId="0" borderId="9" xfId="0" applyFont="1" applyBorder="1" applyAlignment="1">
      <alignment horizontal="left" vertical="top" wrapText="1"/>
    </xf>
    <xf numFmtId="49" fontId="10" fillId="0" borderId="10" xfId="0" applyNumberFormat="1" applyFont="1" applyBorder="1" applyAlignment="1">
      <alignment vertical="top"/>
    </xf>
    <xf numFmtId="0" fontId="1" fillId="0" borderId="11" xfId="0" applyFont="1" applyBorder="1"/>
    <xf numFmtId="164" fontId="7" fillId="0" borderId="10" xfId="0" applyNumberFormat="1" applyFont="1" applyBorder="1" applyAlignment="1">
      <alignment horizontal="right" wrapText="1"/>
    </xf>
    <xf numFmtId="0" fontId="1" fillId="0" borderId="12" xfId="0" applyFont="1" applyBorder="1"/>
    <xf numFmtId="164" fontId="7" fillId="0" borderId="13" xfId="0" applyNumberFormat="1" applyFont="1" applyBorder="1" applyAlignment="1">
      <alignment wrapText="1"/>
    </xf>
    <xf numFmtId="0" fontId="11" fillId="0" borderId="14" xfId="0" applyFont="1" applyBorder="1" applyAlignment="1">
      <alignment horizontal="left"/>
    </xf>
    <xf numFmtId="0" fontId="7" fillId="0" borderId="15" xfId="0" applyFont="1" applyBorder="1" applyAlignment="1">
      <alignment wrapText="1"/>
    </xf>
    <xf numFmtId="0" fontId="3" fillId="0" borderId="15" xfId="0" applyFont="1" applyBorder="1" applyAlignment="1">
      <alignment wrapText="1"/>
    </xf>
  </cellXfs>
  <cellStyles count="1">
    <cellStyle name="Normal" xfId="0" builtinId="0"/>
  </cellStyles>
  <dxfs count="16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95EFD-B410-4C69-8CDD-9B5D65364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2348" cy="573192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511F-84D9-496B-BEED-B2121B29A308}">
  <dimension ref="A5:J143"/>
  <sheetViews>
    <sheetView tabSelected="1" topLeftCell="A124" zoomScale="75" zoomScaleNormal="60" workbookViewId="0">
      <selection activeCell="J138" sqref="J138"/>
    </sheetView>
  </sheetViews>
  <sheetFormatPr defaultColWidth="8.69921875" defaultRowHeight="12.6" x14ac:dyDescent="0.2"/>
  <cols>
    <col min="1" max="1" width="12" style="2" customWidth="1"/>
    <col min="2" max="2" width="13.09765625" style="2" customWidth="1"/>
    <col min="3" max="3" width="16.19921875" style="2" customWidth="1"/>
    <col min="4" max="5" width="20" style="2" customWidth="1"/>
    <col min="6" max="6" width="23.09765625" style="2" customWidth="1"/>
    <col min="7" max="7" width="34" style="2" customWidth="1"/>
    <col min="8" max="16384" width="8.69921875" style="2"/>
  </cols>
  <sheetData>
    <row r="5" spans="1:10" x14ac:dyDescent="0.2">
      <c r="A5" s="1" t="s">
        <v>0</v>
      </c>
      <c r="B5" s="2" t="s">
        <v>1</v>
      </c>
      <c r="C5" s="1"/>
      <c r="H5" s="3"/>
    </row>
    <row r="6" spans="1:10" x14ac:dyDescent="0.2">
      <c r="A6" s="1" t="s">
        <v>2</v>
      </c>
      <c r="B6" s="4">
        <f>F138</f>
        <v>0</v>
      </c>
      <c r="C6" s="1"/>
      <c r="D6" s="1"/>
      <c r="E6" s="1"/>
      <c r="H6" s="3"/>
      <c r="J6" s="5"/>
    </row>
    <row r="7" spans="1:10" x14ac:dyDescent="0.2">
      <c r="H7" s="3"/>
    </row>
    <row r="8" spans="1:10" ht="25.2" x14ac:dyDescent="0.2">
      <c r="A8" s="6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8" t="s">
        <v>9</v>
      </c>
      <c r="H8" s="9" t="s">
        <v>10</v>
      </c>
      <c r="I8" s="9" t="s">
        <v>11</v>
      </c>
      <c r="J8" s="10" t="s">
        <v>12</v>
      </c>
    </row>
    <row r="9" spans="1:10" x14ac:dyDescent="0.2">
      <c r="A9" s="11">
        <v>46143</v>
      </c>
      <c r="B9" s="11" t="s">
        <v>13</v>
      </c>
      <c r="C9" s="12" t="s">
        <v>14</v>
      </c>
      <c r="D9" s="12"/>
      <c r="E9" s="12" t="s">
        <v>15</v>
      </c>
      <c r="F9" s="12" t="s">
        <v>16</v>
      </c>
      <c r="G9" s="13" t="s">
        <v>17</v>
      </c>
      <c r="H9" s="14">
        <f t="shared" ref="H9:H133" si="0">J9-I9</f>
        <v>0.33333333333333331</v>
      </c>
      <c r="I9" s="15">
        <v>0.33333333333333331</v>
      </c>
      <c r="J9" s="15">
        <v>0.66666666666666663</v>
      </c>
    </row>
    <row r="10" spans="1:10" x14ac:dyDescent="0.2">
      <c r="A10" s="16">
        <v>46144</v>
      </c>
      <c r="B10" s="16" t="s">
        <v>18</v>
      </c>
      <c r="C10" s="17"/>
      <c r="D10" s="17"/>
      <c r="E10" s="17"/>
      <c r="F10" s="17"/>
      <c r="G10" s="18"/>
      <c r="H10" s="19">
        <f t="shared" si="0"/>
        <v>0</v>
      </c>
      <c r="I10" s="20"/>
      <c r="J10" s="20"/>
    </row>
    <row r="11" spans="1:10" x14ac:dyDescent="0.2">
      <c r="A11" s="16">
        <v>46145</v>
      </c>
      <c r="B11" s="16" t="s">
        <v>19</v>
      </c>
      <c r="C11" s="17"/>
      <c r="D11" s="17"/>
      <c r="E11" s="17"/>
      <c r="F11" s="17"/>
      <c r="G11" s="18"/>
      <c r="H11" s="19">
        <f>J11-I11</f>
        <v>0</v>
      </c>
      <c r="I11" s="20"/>
      <c r="J11" s="20"/>
    </row>
    <row r="12" spans="1:10" x14ac:dyDescent="0.2">
      <c r="A12" s="21">
        <v>46146</v>
      </c>
      <c r="B12" s="21" t="s">
        <v>20</v>
      </c>
      <c r="C12" s="22" t="s">
        <v>14</v>
      </c>
      <c r="D12" s="22"/>
      <c r="E12" s="22" t="s">
        <v>21</v>
      </c>
      <c r="F12" s="22" t="s">
        <v>16</v>
      </c>
      <c r="G12" s="23" t="s">
        <v>22</v>
      </c>
      <c r="H12" s="24">
        <f t="shared" si="0"/>
        <v>4.1666666666666685E-2</v>
      </c>
      <c r="I12" s="25">
        <v>0.33333333333333331</v>
      </c>
      <c r="J12" s="25">
        <v>0.375</v>
      </c>
    </row>
    <row r="13" spans="1:10" x14ac:dyDescent="0.2">
      <c r="A13" s="21">
        <v>46146</v>
      </c>
      <c r="B13" s="21" t="s">
        <v>20</v>
      </c>
      <c r="C13" s="22" t="s">
        <v>14</v>
      </c>
      <c r="D13" s="22"/>
      <c r="E13" s="22" t="s">
        <v>23</v>
      </c>
      <c r="F13" s="22" t="s">
        <v>16</v>
      </c>
      <c r="G13" s="23" t="s">
        <v>24</v>
      </c>
      <c r="H13" s="24">
        <v>4.1666666666666664E-2</v>
      </c>
      <c r="I13" s="25">
        <v>0.375</v>
      </c>
      <c r="J13" s="25">
        <v>0.41666666666666669</v>
      </c>
    </row>
    <row r="14" spans="1:10" ht="25.2" x14ac:dyDescent="0.2">
      <c r="A14" s="21">
        <v>46146</v>
      </c>
      <c r="B14" s="21" t="s">
        <v>20</v>
      </c>
      <c r="C14" s="22" t="s">
        <v>14</v>
      </c>
      <c r="D14" s="22"/>
      <c r="E14" s="22" t="s">
        <v>23</v>
      </c>
      <c r="F14" s="22" t="s">
        <v>16</v>
      </c>
      <c r="G14" s="23" t="s">
        <v>25</v>
      </c>
      <c r="H14" s="24">
        <v>0.11458333333333333</v>
      </c>
      <c r="I14" s="25">
        <v>0.42708333333333331</v>
      </c>
      <c r="J14" s="25">
        <v>0.54166666666666663</v>
      </c>
    </row>
    <row r="15" spans="1:10" x14ac:dyDescent="0.2">
      <c r="A15" s="21">
        <v>46146</v>
      </c>
      <c r="B15" s="21" t="s">
        <v>20</v>
      </c>
      <c r="C15" s="22" t="s">
        <v>14</v>
      </c>
      <c r="D15" s="22"/>
      <c r="E15" s="22" t="s">
        <v>23</v>
      </c>
      <c r="F15" s="22" t="s">
        <v>16</v>
      </c>
      <c r="G15" s="23" t="s">
        <v>26</v>
      </c>
      <c r="H15" s="24">
        <v>6.25E-2</v>
      </c>
      <c r="I15" s="25">
        <v>0.58333333333333337</v>
      </c>
      <c r="J15" s="25">
        <v>0.64583333333333337</v>
      </c>
    </row>
    <row r="16" spans="1:10" x14ac:dyDescent="0.2">
      <c r="A16" s="21">
        <v>46146</v>
      </c>
      <c r="B16" s="21" t="s">
        <v>20</v>
      </c>
      <c r="C16" s="22" t="s">
        <v>14</v>
      </c>
      <c r="D16" s="22"/>
      <c r="E16" s="22" t="s">
        <v>23</v>
      </c>
      <c r="F16" s="22" t="s">
        <v>16</v>
      </c>
      <c r="G16" s="23" t="s">
        <v>27</v>
      </c>
      <c r="H16" s="24">
        <v>2.0833333333333332E-2</v>
      </c>
      <c r="I16" s="25">
        <v>0.64583333333333337</v>
      </c>
      <c r="J16" s="25">
        <v>0.66666666666666663</v>
      </c>
    </row>
    <row r="17" spans="1:10" x14ac:dyDescent="0.2">
      <c r="A17" s="21">
        <v>46146</v>
      </c>
      <c r="B17" s="21" t="s">
        <v>20</v>
      </c>
      <c r="C17" s="22" t="s">
        <v>14</v>
      </c>
      <c r="D17" s="22"/>
      <c r="E17" s="22" t="s">
        <v>21</v>
      </c>
      <c r="F17" s="22" t="s">
        <v>16</v>
      </c>
      <c r="G17" s="23" t="s">
        <v>28</v>
      </c>
      <c r="H17" s="24">
        <v>4.1666666666666664E-2</v>
      </c>
      <c r="I17" s="25">
        <v>0.66666666666666663</v>
      </c>
      <c r="J17" s="25">
        <v>0.70833333333333337</v>
      </c>
    </row>
    <row r="18" spans="1:10" x14ac:dyDescent="0.2">
      <c r="A18" s="21">
        <v>46147</v>
      </c>
      <c r="B18" s="21" t="s">
        <v>29</v>
      </c>
      <c r="C18" s="22" t="s">
        <v>14</v>
      </c>
      <c r="D18" s="22"/>
      <c r="E18" s="22" t="s">
        <v>21</v>
      </c>
      <c r="F18" s="22" t="s">
        <v>16</v>
      </c>
      <c r="G18" s="23" t="s">
        <v>22</v>
      </c>
      <c r="H18" s="24">
        <v>4.1666666666666664E-2</v>
      </c>
      <c r="I18" s="25">
        <v>0.33333333333333331</v>
      </c>
      <c r="J18" s="25">
        <v>0.375</v>
      </c>
    </row>
    <row r="19" spans="1:10" x14ac:dyDescent="0.2">
      <c r="A19" s="21">
        <v>46147</v>
      </c>
      <c r="B19" s="21" t="s">
        <v>29</v>
      </c>
      <c r="C19" s="22" t="s">
        <v>14</v>
      </c>
      <c r="D19" s="22"/>
      <c r="E19" s="22" t="s">
        <v>23</v>
      </c>
      <c r="F19" s="22" t="s">
        <v>16</v>
      </c>
      <c r="G19" s="23" t="s">
        <v>30</v>
      </c>
      <c r="H19" s="24">
        <v>4.1666666666666664E-2</v>
      </c>
      <c r="I19" s="25">
        <v>0.375</v>
      </c>
      <c r="J19" s="25">
        <v>0.41666666666666669</v>
      </c>
    </row>
    <row r="20" spans="1:10" x14ac:dyDescent="0.2">
      <c r="A20" s="21">
        <v>46147</v>
      </c>
      <c r="B20" s="21" t="s">
        <v>29</v>
      </c>
      <c r="C20" s="22" t="s">
        <v>14</v>
      </c>
      <c r="D20" s="22"/>
      <c r="E20" s="22" t="s">
        <v>23</v>
      </c>
      <c r="F20" s="22" t="s">
        <v>16</v>
      </c>
      <c r="G20" s="23" t="s">
        <v>31</v>
      </c>
      <c r="H20" s="24">
        <v>2.0833333333333332E-2</v>
      </c>
      <c r="I20" s="25">
        <v>0.41666666666666669</v>
      </c>
      <c r="J20" s="25">
        <v>0.4375</v>
      </c>
    </row>
    <row r="21" spans="1:10" x14ac:dyDescent="0.2">
      <c r="A21" s="21">
        <v>46147</v>
      </c>
      <c r="B21" s="21" t="s">
        <v>29</v>
      </c>
      <c r="C21" s="22" t="s">
        <v>14</v>
      </c>
      <c r="D21" s="22"/>
      <c r="E21" s="22" t="s">
        <v>23</v>
      </c>
      <c r="F21" s="22" t="s">
        <v>16</v>
      </c>
      <c r="G21" s="23" t="s">
        <v>32</v>
      </c>
      <c r="H21" s="24">
        <v>2.0833333333333332E-2</v>
      </c>
      <c r="I21" s="25">
        <v>0.4375</v>
      </c>
      <c r="J21" s="25">
        <v>0.45833333333333331</v>
      </c>
    </row>
    <row r="22" spans="1:10" x14ac:dyDescent="0.2">
      <c r="A22" s="21">
        <v>46147</v>
      </c>
      <c r="B22" s="21" t="s">
        <v>29</v>
      </c>
      <c r="C22" s="22" t="s">
        <v>14</v>
      </c>
      <c r="D22" s="22"/>
      <c r="E22" s="22" t="s">
        <v>23</v>
      </c>
      <c r="F22" s="22" t="s">
        <v>16</v>
      </c>
      <c r="G22" s="23" t="s">
        <v>33</v>
      </c>
      <c r="H22" s="24">
        <v>8.3333333333333329E-2</v>
      </c>
      <c r="I22" s="25">
        <v>0.45833333333333331</v>
      </c>
      <c r="J22" s="25">
        <v>0.54166666666666663</v>
      </c>
    </row>
    <row r="23" spans="1:10" x14ac:dyDescent="0.2">
      <c r="A23" s="21">
        <v>46147</v>
      </c>
      <c r="B23" s="21" t="s">
        <v>29</v>
      </c>
      <c r="C23" s="22" t="s">
        <v>14</v>
      </c>
      <c r="D23" s="22"/>
      <c r="E23" s="22" t="s">
        <v>23</v>
      </c>
      <c r="F23" s="22" t="s">
        <v>16</v>
      </c>
      <c r="G23" s="23" t="s">
        <v>34</v>
      </c>
      <c r="H23" s="24">
        <v>8.3333333333333329E-2</v>
      </c>
      <c r="I23" s="25">
        <v>0.58333333333333337</v>
      </c>
      <c r="J23" s="25">
        <v>0.66666666666666663</v>
      </c>
    </row>
    <row r="24" spans="1:10" x14ac:dyDescent="0.2">
      <c r="A24" s="21">
        <v>46147</v>
      </c>
      <c r="B24" s="21" t="s">
        <v>29</v>
      </c>
      <c r="C24" s="22" t="s">
        <v>14</v>
      </c>
      <c r="D24" s="22"/>
      <c r="E24" s="22" t="s">
        <v>21</v>
      </c>
      <c r="F24" s="22" t="s">
        <v>16</v>
      </c>
      <c r="G24" s="23" t="s">
        <v>28</v>
      </c>
      <c r="H24" s="24">
        <v>4.1666666666666664E-2</v>
      </c>
      <c r="I24" s="25">
        <v>0.66666666666666663</v>
      </c>
      <c r="J24" s="25">
        <v>0.70833333333333337</v>
      </c>
    </row>
    <row r="25" spans="1:10" x14ac:dyDescent="0.2">
      <c r="A25" s="21">
        <v>46148</v>
      </c>
      <c r="B25" s="21" t="s">
        <v>35</v>
      </c>
      <c r="C25" s="22" t="s">
        <v>14</v>
      </c>
      <c r="D25" s="22"/>
      <c r="E25" s="22" t="s">
        <v>21</v>
      </c>
      <c r="F25" s="22" t="s">
        <v>16</v>
      </c>
      <c r="G25" s="23" t="s">
        <v>22</v>
      </c>
      <c r="H25" s="24">
        <v>4.1666666666666664E-2</v>
      </c>
      <c r="I25" s="25">
        <v>0.33333333333333331</v>
      </c>
      <c r="J25" s="25">
        <v>0.375</v>
      </c>
    </row>
    <row r="26" spans="1:10" x14ac:dyDescent="0.2">
      <c r="A26" s="21">
        <v>46148</v>
      </c>
      <c r="B26" s="21" t="s">
        <v>35</v>
      </c>
      <c r="C26" s="22" t="s">
        <v>14</v>
      </c>
      <c r="D26" s="22"/>
      <c r="E26" s="22" t="s">
        <v>23</v>
      </c>
      <c r="F26" s="22" t="s">
        <v>16</v>
      </c>
      <c r="G26" s="23" t="s">
        <v>36</v>
      </c>
      <c r="H26" s="24">
        <v>4.1666666666666664E-2</v>
      </c>
      <c r="I26" s="25">
        <v>0.375</v>
      </c>
      <c r="J26" s="25">
        <v>0.41666666666666669</v>
      </c>
    </row>
    <row r="27" spans="1:10" x14ac:dyDescent="0.2">
      <c r="A27" s="21">
        <v>46148</v>
      </c>
      <c r="B27" s="21" t="s">
        <v>35</v>
      </c>
      <c r="C27" s="22" t="s">
        <v>14</v>
      </c>
      <c r="D27" s="22"/>
      <c r="E27" s="22" t="s">
        <v>23</v>
      </c>
      <c r="F27" s="22" t="s">
        <v>16</v>
      </c>
      <c r="G27" s="23" t="s">
        <v>37</v>
      </c>
      <c r="H27" s="24">
        <v>4.1666666666666664E-2</v>
      </c>
      <c r="I27" s="25">
        <v>0.41666666666666669</v>
      </c>
      <c r="J27" s="25">
        <v>0.45833333333333331</v>
      </c>
    </row>
    <row r="28" spans="1:10" x14ac:dyDescent="0.2">
      <c r="A28" s="21">
        <v>46148</v>
      </c>
      <c r="B28" s="21" t="s">
        <v>35</v>
      </c>
      <c r="C28" s="22" t="s">
        <v>14</v>
      </c>
      <c r="D28" s="22"/>
      <c r="E28" s="22" t="s">
        <v>23</v>
      </c>
      <c r="F28" s="22" t="s">
        <v>16</v>
      </c>
      <c r="G28" s="23" t="s">
        <v>38</v>
      </c>
      <c r="H28" s="24">
        <v>4.1666666666666664E-2</v>
      </c>
      <c r="I28" s="25">
        <v>0.45833333333333331</v>
      </c>
      <c r="J28" s="25">
        <v>0.5</v>
      </c>
    </row>
    <row r="29" spans="1:10" x14ac:dyDescent="0.2">
      <c r="A29" s="21">
        <v>46148</v>
      </c>
      <c r="B29" s="21" t="s">
        <v>35</v>
      </c>
      <c r="C29" s="22" t="s">
        <v>14</v>
      </c>
      <c r="D29" s="22"/>
      <c r="E29" s="22" t="s">
        <v>23</v>
      </c>
      <c r="F29" s="22" t="s">
        <v>16</v>
      </c>
      <c r="G29" s="23" t="s">
        <v>39</v>
      </c>
      <c r="H29" s="24">
        <v>4.1666666666666664E-2</v>
      </c>
      <c r="I29" s="25">
        <v>0.5</v>
      </c>
      <c r="J29" s="25">
        <v>0.54166666666666663</v>
      </c>
    </row>
    <row r="30" spans="1:10" x14ac:dyDescent="0.2">
      <c r="A30" s="21">
        <v>46148</v>
      </c>
      <c r="B30" s="21" t="s">
        <v>35</v>
      </c>
      <c r="C30" s="22" t="s">
        <v>14</v>
      </c>
      <c r="D30" s="22"/>
      <c r="E30" s="22" t="s">
        <v>23</v>
      </c>
      <c r="F30" s="22" t="s">
        <v>16</v>
      </c>
      <c r="G30" s="23" t="s">
        <v>40</v>
      </c>
      <c r="H30" s="24">
        <v>4.1666666666666664E-2</v>
      </c>
      <c r="I30" s="25">
        <v>0.58333333333333337</v>
      </c>
      <c r="J30" s="25">
        <v>0.625</v>
      </c>
    </row>
    <row r="31" spans="1:10" x14ac:dyDescent="0.2">
      <c r="A31" s="21">
        <v>46148</v>
      </c>
      <c r="B31" s="21" t="s">
        <v>35</v>
      </c>
      <c r="C31" s="22" t="s">
        <v>14</v>
      </c>
      <c r="D31" s="22"/>
      <c r="E31" s="22" t="s">
        <v>23</v>
      </c>
      <c r="F31" s="22" t="s">
        <v>16</v>
      </c>
      <c r="G31" s="23" t="s">
        <v>41</v>
      </c>
      <c r="H31" s="24">
        <v>4.1666666666666664E-2</v>
      </c>
      <c r="I31" s="25">
        <v>0.625</v>
      </c>
      <c r="J31" s="25">
        <v>0.66666666666666663</v>
      </c>
    </row>
    <row r="32" spans="1:10" x14ac:dyDescent="0.2">
      <c r="A32" s="21">
        <v>46148</v>
      </c>
      <c r="B32" s="21" t="s">
        <v>35</v>
      </c>
      <c r="C32" s="22" t="s">
        <v>14</v>
      </c>
      <c r="D32" s="22"/>
      <c r="E32" s="22" t="s">
        <v>21</v>
      </c>
      <c r="F32" s="22" t="s">
        <v>16</v>
      </c>
      <c r="G32" s="23" t="s">
        <v>28</v>
      </c>
      <c r="H32" s="24">
        <v>4.1666666666666664E-2</v>
      </c>
      <c r="I32" s="25">
        <v>0.66666666666666663</v>
      </c>
      <c r="J32" s="25">
        <v>0.70833333333333337</v>
      </c>
    </row>
    <row r="33" spans="1:10" x14ac:dyDescent="0.2">
      <c r="A33" s="21">
        <v>46149</v>
      </c>
      <c r="B33" s="21" t="s">
        <v>42</v>
      </c>
      <c r="C33" s="22" t="s">
        <v>14</v>
      </c>
      <c r="D33" s="22"/>
      <c r="E33" s="22" t="s">
        <v>21</v>
      </c>
      <c r="F33" s="22" t="s">
        <v>16</v>
      </c>
      <c r="G33" s="23" t="s">
        <v>22</v>
      </c>
      <c r="H33" s="24">
        <v>4.1666666666666664E-2</v>
      </c>
      <c r="I33" s="25">
        <v>0.33333333333333331</v>
      </c>
      <c r="J33" s="25">
        <v>0.375</v>
      </c>
    </row>
    <row r="34" spans="1:10" x14ac:dyDescent="0.2">
      <c r="A34" s="21">
        <v>46149</v>
      </c>
      <c r="B34" s="21" t="s">
        <v>42</v>
      </c>
      <c r="C34" s="22" t="s">
        <v>14</v>
      </c>
      <c r="D34" s="22"/>
      <c r="E34" s="22" t="s">
        <v>23</v>
      </c>
      <c r="F34" s="22" t="s">
        <v>16</v>
      </c>
      <c r="G34" s="23" t="s">
        <v>43</v>
      </c>
      <c r="H34" s="24">
        <v>0.14583333333333334</v>
      </c>
      <c r="I34" s="25">
        <v>0.375</v>
      </c>
      <c r="J34" s="25">
        <v>0.52083333333333337</v>
      </c>
    </row>
    <row r="35" spans="1:10" x14ac:dyDescent="0.2">
      <c r="A35" s="21">
        <v>46149</v>
      </c>
      <c r="B35" s="21" t="s">
        <v>42</v>
      </c>
      <c r="C35" s="22" t="s">
        <v>14</v>
      </c>
      <c r="D35" s="22"/>
      <c r="E35" s="22" t="s">
        <v>23</v>
      </c>
      <c r="F35" s="22" t="s">
        <v>16</v>
      </c>
      <c r="G35" s="23" t="s">
        <v>44</v>
      </c>
      <c r="H35" s="24">
        <v>4.1666666666666664E-2</v>
      </c>
      <c r="I35" s="25">
        <v>0.5625</v>
      </c>
      <c r="J35" s="25">
        <v>0.60416666666666663</v>
      </c>
    </row>
    <row r="36" spans="1:10" x14ac:dyDescent="0.2">
      <c r="A36" s="21">
        <v>46149</v>
      </c>
      <c r="B36" s="21" t="s">
        <v>42</v>
      </c>
      <c r="C36" s="22" t="s">
        <v>14</v>
      </c>
      <c r="D36" s="22"/>
      <c r="E36" s="22" t="s">
        <v>23</v>
      </c>
      <c r="F36" s="22" t="s">
        <v>16</v>
      </c>
      <c r="G36" s="23" t="s">
        <v>45</v>
      </c>
      <c r="H36" s="24">
        <v>6.25E-2</v>
      </c>
      <c r="I36" s="25">
        <v>0.60416666666666663</v>
      </c>
      <c r="J36" s="25">
        <v>0.66666666666666663</v>
      </c>
    </row>
    <row r="37" spans="1:10" x14ac:dyDescent="0.2">
      <c r="A37" s="21">
        <v>46149</v>
      </c>
      <c r="B37" s="21" t="s">
        <v>42</v>
      </c>
      <c r="C37" s="22" t="s">
        <v>14</v>
      </c>
      <c r="D37" s="22"/>
      <c r="E37" s="22" t="s">
        <v>21</v>
      </c>
      <c r="F37" s="22" t="s">
        <v>16</v>
      </c>
      <c r="G37" s="23" t="s">
        <v>28</v>
      </c>
      <c r="H37" s="24">
        <v>4.1666666666666664E-2</v>
      </c>
      <c r="I37" s="25">
        <v>0.66666666666666663</v>
      </c>
      <c r="J37" s="25">
        <v>0.70833333333333337</v>
      </c>
    </row>
    <row r="38" spans="1:10" x14ac:dyDescent="0.2">
      <c r="A38" s="21">
        <v>46149</v>
      </c>
      <c r="B38" s="21" t="s">
        <v>13</v>
      </c>
      <c r="C38" s="22" t="s">
        <v>14</v>
      </c>
      <c r="D38" s="22"/>
      <c r="E38" s="22" t="s">
        <v>21</v>
      </c>
      <c r="F38" s="22" t="s">
        <v>16</v>
      </c>
      <c r="G38" s="23" t="s">
        <v>22</v>
      </c>
      <c r="H38" s="24">
        <v>4.1666666666666664E-2</v>
      </c>
      <c r="I38" s="25">
        <v>0.33333333333333331</v>
      </c>
      <c r="J38" s="25">
        <v>0.375</v>
      </c>
    </row>
    <row r="39" spans="1:10" x14ac:dyDescent="0.2">
      <c r="A39" s="21">
        <v>46149</v>
      </c>
      <c r="B39" s="21" t="s">
        <v>13</v>
      </c>
      <c r="C39" s="22" t="s">
        <v>14</v>
      </c>
      <c r="D39" s="22"/>
      <c r="E39" s="22" t="s">
        <v>23</v>
      </c>
      <c r="F39" s="22" t="s">
        <v>16</v>
      </c>
      <c r="G39" s="23" t="s">
        <v>46</v>
      </c>
      <c r="H39" s="24">
        <f>J39-I39</f>
        <v>4.1666666666666685E-2</v>
      </c>
      <c r="I39" s="25">
        <v>0.375</v>
      </c>
      <c r="J39" s="25">
        <v>0.41666666666666669</v>
      </c>
    </row>
    <row r="40" spans="1:10" x14ac:dyDescent="0.2">
      <c r="A40" s="21">
        <v>46150</v>
      </c>
      <c r="B40" s="21" t="s">
        <v>13</v>
      </c>
      <c r="C40" s="22" t="s">
        <v>14</v>
      </c>
      <c r="D40" s="22"/>
      <c r="E40" s="22" t="s">
        <v>23</v>
      </c>
      <c r="F40" s="22" t="s">
        <v>16</v>
      </c>
      <c r="G40" s="23" t="s">
        <v>47</v>
      </c>
      <c r="H40" s="24">
        <v>8.3333333333333329E-2</v>
      </c>
      <c r="I40" s="25">
        <v>0.41666666666666669</v>
      </c>
      <c r="J40" s="25">
        <v>0.5</v>
      </c>
    </row>
    <row r="41" spans="1:10" x14ac:dyDescent="0.2">
      <c r="A41" s="21">
        <v>46150</v>
      </c>
      <c r="B41" s="21" t="s">
        <v>13</v>
      </c>
      <c r="C41" s="22" t="s">
        <v>14</v>
      </c>
      <c r="D41" s="22"/>
      <c r="E41" s="22" t="s">
        <v>23</v>
      </c>
      <c r="F41" s="22" t="s">
        <v>16</v>
      </c>
      <c r="G41" s="23" t="s">
        <v>48</v>
      </c>
      <c r="H41" s="24">
        <v>3.125E-2</v>
      </c>
      <c r="I41" s="25">
        <v>0.5</v>
      </c>
      <c r="J41" s="25">
        <v>0.53125</v>
      </c>
    </row>
    <row r="42" spans="1:10" x14ac:dyDescent="0.2">
      <c r="A42" s="21">
        <v>46150</v>
      </c>
      <c r="B42" s="21" t="s">
        <v>13</v>
      </c>
      <c r="C42" s="22" t="s">
        <v>14</v>
      </c>
      <c r="D42" s="22"/>
      <c r="E42" s="22" t="s">
        <v>23</v>
      </c>
      <c r="F42" s="22" t="s">
        <v>16</v>
      </c>
      <c r="G42" s="23" t="s">
        <v>49</v>
      </c>
      <c r="H42" s="24">
        <v>6.25E-2</v>
      </c>
      <c r="I42" s="25">
        <v>0.5625</v>
      </c>
      <c r="J42" s="25">
        <v>0.625</v>
      </c>
    </row>
    <row r="43" spans="1:10" x14ac:dyDescent="0.2">
      <c r="A43" s="21">
        <v>46150</v>
      </c>
      <c r="B43" s="21" t="s">
        <v>13</v>
      </c>
      <c r="C43" s="22" t="s">
        <v>14</v>
      </c>
      <c r="D43" s="22"/>
      <c r="E43" s="22" t="s">
        <v>21</v>
      </c>
      <c r="F43" s="22" t="s">
        <v>16</v>
      </c>
      <c r="G43" s="23" t="s">
        <v>28</v>
      </c>
      <c r="H43" s="24">
        <v>4.1666666666666664E-2</v>
      </c>
      <c r="I43" s="25">
        <v>0.625</v>
      </c>
      <c r="J43" s="25">
        <v>0.66666666666666663</v>
      </c>
    </row>
    <row r="44" spans="1:10" x14ac:dyDescent="0.2">
      <c r="A44" s="16">
        <v>46151</v>
      </c>
      <c r="B44" s="16" t="s">
        <v>18</v>
      </c>
      <c r="C44" s="17"/>
      <c r="D44" s="17"/>
      <c r="E44" s="17"/>
      <c r="F44" s="17"/>
      <c r="G44" s="18"/>
      <c r="H44" s="19">
        <f t="shared" si="0"/>
        <v>0</v>
      </c>
      <c r="I44" s="20"/>
      <c r="J44" s="20"/>
    </row>
    <row r="45" spans="1:10" x14ac:dyDescent="0.2">
      <c r="A45" s="16">
        <v>46152</v>
      </c>
      <c r="B45" s="16" t="s">
        <v>19</v>
      </c>
      <c r="C45" s="17"/>
      <c r="D45" s="17"/>
      <c r="E45" s="17"/>
      <c r="F45" s="17"/>
      <c r="G45" s="18"/>
      <c r="H45" s="19">
        <f t="shared" si="0"/>
        <v>0</v>
      </c>
      <c r="I45" s="20"/>
      <c r="J45" s="20"/>
    </row>
    <row r="46" spans="1:10" x14ac:dyDescent="0.2">
      <c r="A46" s="21">
        <v>46153</v>
      </c>
      <c r="B46" s="21" t="s">
        <v>20</v>
      </c>
      <c r="C46" s="22" t="s">
        <v>14</v>
      </c>
      <c r="D46" s="22"/>
      <c r="E46" s="22" t="s">
        <v>50</v>
      </c>
      <c r="F46" s="22" t="s">
        <v>16</v>
      </c>
      <c r="G46" s="23" t="s">
        <v>51</v>
      </c>
      <c r="H46" s="24">
        <f t="shared" si="0"/>
        <v>6.9444444444444753E-3</v>
      </c>
      <c r="I46" s="25">
        <v>0.33333333333333331</v>
      </c>
      <c r="J46" s="25">
        <v>0.34027777777777779</v>
      </c>
    </row>
    <row r="47" spans="1:10" x14ac:dyDescent="0.2">
      <c r="A47" s="21">
        <v>46153</v>
      </c>
      <c r="B47" s="21" t="s">
        <v>20</v>
      </c>
      <c r="C47" s="22" t="s">
        <v>14</v>
      </c>
      <c r="D47" s="22"/>
      <c r="E47" s="22" t="s">
        <v>52</v>
      </c>
      <c r="F47" s="22" t="s">
        <v>16</v>
      </c>
      <c r="G47" s="23" t="s">
        <v>53</v>
      </c>
      <c r="H47" s="24">
        <v>3.4722222222222224E-2</v>
      </c>
      <c r="I47" s="25">
        <v>0.34027777777777779</v>
      </c>
      <c r="J47" s="25">
        <v>0.375</v>
      </c>
    </row>
    <row r="48" spans="1:10" x14ac:dyDescent="0.2">
      <c r="A48" s="21">
        <v>46153</v>
      </c>
      <c r="B48" s="21" t="s">
        <v>20</v>
      </c>
      <c r="C48" s="22" t="s">
        <v>14</v>
      </c>
      <c r="D48" s="22"/>
      <c r="E48" s="22" t="s">
        <v>50</v>
      </c>
      <c r="F48" s="22" t="s">
        <v>16</v>
      </c>
      <c r="G48" s="23" t="s">
        <v>54</v>
      </c>
      <c r="H48" s="24">
        <v>1.3888888888888888E-2</v>
      </c>
      <c r="I48" s="25">
        <v>0.375</v>
      </c>
      <c r="J48" s="25">
        <v>0.3888888888888889</v>
      </c>
    </row>
    <row r="49" spans="1:10" x14ac:dyDescent="0.2">
      <c r="A49" s="21">
        <v>46153</v>
      </c>
      <c r="B49" s="21" t="s">
        <v>20</v>
      </c>
      <c r="C49" s="22" t="s">
        <v>14</v>
      </c>
      <c r="D49" s="22"/>
      <c r="E49" s="22" t="s">
        <v>52</v>
      </c>
      <c r="F49" s="22" t="s">
        <v>16</v>
      </c>
      <c r="G49" s="23" t="s">
        <v>53</v>
      </c>
      <c r="H49" s="24">
        <v>6.9444444444444448E-2</v>
      </c>
      <c r="I49" s="25">
        <v>0.3888888888888889</v>
      </c>
      <c r="J49" s="25">
        <v>0.45833333333333331</v>
      </c>
    </row>
    <row r="50" spans="1:10" x14ac:dyDescent="0.2">
      <c r="A50" s="21">
        <v>46153</v>
      </c>
      <c r="B50" s="21" t="s">
        <v>20</v>
      </c>
      <c r="C50" s="22" t="s">
        <v>14</v>
      </c>
      <c r="D50" s="22"/>
      <c r="E50" s="22" t="s">
        <v>50</v>
      </c>
      <c r="F50" s="22" t="s">
        <v>16</v>
      </c>
      <c r="G50" s="23" t="s">
        <v>55</v>
      </c>
      <c r="H50" s="24">
        <v>4.1666666666666664E-2</v>
      </c>
      <c r="I50" s="25">
        <v>0.45833333333333331</v>
      </c>
      <c r="J50" s="25">
        <v>0.5</v>
      </c>
    </row>
    <row r="51" spans="1:10" x14ac:dyDescent="0.2">
      <c r="A51" s="21">
        <v>46153</v>
      </c>
      <c r="B51" s="21" t="s">
        <v>20</v>
      </c>
      <c r="C51" s="22" t="s">
        <v>14</v>
      </c>
      <c r="D51" s="22"/>
      <c r="E51" s="22" t="s">
        <v>52</v>
      </c>
      <c r="F51" s="22" t="s">
        <v>16</v>
      </c>
      <c r="G51" s="23" t="s">
        <v>53</v>
      </c>
      <c r="H51" s="24">
        <v>4.1666666666666664E-2</v>
      </c>
      <c r="I51" s="25">
        <v>0.5</v>
      </c>
      <c r="J51" s="25">
        <v>0.54166666666666663</v>
      </c>
    </row>
    <row r="52" spans="1:10" x14ac:dyDescent="0.2">
      <c r="A52" s="21">
        <v>46153</v>
      </c>
      <c r="B52" s="21" t="s">
        <v>20</v>
      </c>
      <c r="C52" s="22" t="s">
        <v>14</v>
      </c>
      <c r="D52" s="22"/>
      <c r="E52" s="22" t="s">
        <v>52</v>
      </c>
      <c r="F52" s="22" t="s">
        <v>16</v>
      </c>
      <c r="G52" s="23" t="s">
        <v>53</v>
      </c>
      <c r="H52" s="24">
        <v>8.3333333333333329E-2</v>
      </c>
      <c r="I52" s="25">
        <v>0.58333333333333337</v>
      </c>
      <c r="J52" s="25">
        <v>0.66666666666666663</v>
      </c>
    </row>
    <row r="53" spans="1:10" x14ac:dyDescent="0.2">
      <c r="A53" s="21">
        <v>46153</v>
      </c>
      <c r="B53" s="21" t="s">
        <v>20</v>
      </c>
      <c r="C53" s="22" t="s">
        <v>14</v>
      </c>
      <c r="D53" s="22"/>
      <c r="E53" s="22" t="s">
        <v>50</v>
      </c>
      <c r="F53" s="22" t="s">
        <v>16</v>
      </c>
      <c r="G53" s="23" t="s">
        <v>56</v>
      </c>
      <c r="H53" s="24">
        <v>4.1666666666666664E-2</v>
      </c>
      <c r="I53" s="25">
        <v>0.66666666666666663</v>
      </c>
      <c r="J53" s="25">
        <v>0.70833333333333337</v>
      </c>
    </row>
    <row r="54" spans="1:10" x14ac:dyDescent="0.2">
      <c r="A54" s="21">
        <v>46153</v>
      </c>
      <c r="B54" s="21" t="s">
        <v>20</v>
      </c>
      <c r="C54" s="22" t="s">
        <v>14</v>
      </c>
      <c r="D54" s="22"/>
      <c r="E54" s="22" t="s">
        <v>52</v>
      </c>
      <c r="F54" s="22" t="s">
        <v>16</v>
      </c>
      <c r="G54" s="23" t="s">
        <v>53</v>
      </c>
      <c r="H54" s="24">
        <v>4.1666666666666664E-2</v>
      </c>
      <c r="I54" s="25">
        <v>0.70833333333333337</v>
      </c>
      <c r="J54" s="25">
        <v>0.75</v>
      </c>
    </row>
    <row r="55" spans="1:10" x14ac:dyDescent="0.2">
      <c r="A55" s="21">
        <v>46154</v>
      </c>
      <c r="B55" s="21" t="s">
        <v>29</v>
      </c>
      <c r="C55" s="22" t="s">
        <v>14</v>
      </c>
      <c r="D55" s="22"/>
      <c r="E55" s="22" t="s">
        <v>50</v>
      </c>
      <c r="F55" s="22" t="s">
        <v>16</v>
      </c>
      <c r="G55" s="23" t="s">
        <v>51</v>
      </c>
      <c r="H55" s="24">
        <v>6.9444444444444441E-3</v>
      </c>
      <c r="I55" s="25">
        <v>0.33333333333333331</v>
      </c>
      <c r="J55" s="25">
        <v>0.34027777777777779</v>
      </c>
    </row>
    <row r="56" spans="1:10" x14ac:dyDescent="0.2">
      <c r="A56" s="21">
        <v>46154</v>
      </c>
      <c r="B56" s="21" t="s">
        <v>29</v>
      </c>
      <c r="C56" s="22" t="s">
        <v>14</v>
      </c>
      <c r="D56" s="22"/>
      <c r="E56" s="22" t="s">
        <v>52</v>
      </c>
      <c r="F56" s="22" t="s">
        <v>16</v>
      </c>
      <c r="G56" s="23" t="s">
        <v>53</v>
      </c>
      <c r="H56" s="24">
        <v>0.11805555555555555</v>
      </c>
      <c r="I56" s="25">
        <v>0.34027777777777779</v>
      </c>
      <c r="J56" s="25">
        <v>0.45833333333333331</v>
      </c>
    </row>
    <row r="57" spans="1:10" x14ac:dyDescent="0.2">
      <c r="A57" s="21">
        <v>46154</v>
      </c>
      <c r="B57" s="21" t="s">
        <v>29</v>
      </c>
      <c r="C57" s="22" t="s">
        <v>14</v>
      </c>
      <c r="D57" s="22"/>
      <c r="E57" s="22" t="s">
        <v>50</v>
      </c>
      <c r="F57" s="22" t="s">
        <v>16</v>
      </c>
      <c r="G57" s="23" t="s">
        <v>55</v>
      </c>
      <c r="H57" s="24">
        <v>4.1666666666666664E-2</v>
      </c>
      <c r="I57" s="25">
        <v>0.45833333333333331</v>
      </c>
      <c r="J57" s="25">
        <v>0.5</v>
      </c>
    </row>
    <row r="58" spans="1:10" x14ac:dyDescent="0.2">
      <c r="A58" s="21">
        <v>46154</v>
      </c>
      <c r="B58" s="21" t="s">
        <v>29</v>
      </c>
      <c r="C58" s="22" t="s">
        <v>14</v>
      </c>
      <c r="D58" s="22"/>
      <c r="E58" s="22" t="s">
        <v>52</v>
      </c>
      <c r="F58" s="22" t="s">
        <v>16</v>
      </c>
      <c r="G58" s="23" t="s">
        <v>53</v>
      </c>
      <c r="H58" s="24">
        <v>4.1666666666666664E-2</v>
      </c>
      <c r="I58" s="25">
        <v>0.5</v>
      </c>
      <c r="J58" s="25">
        <v>0.54166666666666663</v>
      </c>
    </row>
    <row r="59" spans="1:10" x14ac:dyDescent="0.2">
      <c r="A59" s="21">
        <v>46154</v>
      </c>
      <c r="B59" s="21" t="s">
        <v>29</v>
      </c>
      <c r="C59" s="22" t="s">
        <v>14</v>
      </c>
      <c r="D59" s="22"/>
      <c r="E59" s="22" t="s">
        <v>52</v>
      </c>
      <c r="F59" s="22" t="s">
        <v>16</v>
      </c>
      <c r="G59" s="23" t="s">
        <v>53</v>
      </c>
      <c r="H59" s="24">
        <v>8.3333333333333329E-2</v>
      </c>
      <c r="I59" s="25">
        <v>0.58333333333333337</v>
      </c>
      <c r="J59" s="25">
        <v>0.66666666666666663</v>
      </c>
    </row>
    <row r="60" spans="1:10" x14ac:dyDescent="0.2">
      <c r="A60" s="21">
        <v>46154</v>
      </c>
      <c r="B60" s="21" t="s">
        <v>29</v>
      </c>
      <c r="C60" s="22" t="s">
        <v>14</v>
      </c>
      <c r="D60" s="22"/>
      <c r="E60" s="22" t="s">
        <v>50</v>
      </c>
      <c r="F60" s="22" t="s">
        <v>16</v>
      </c>
      <c r="G60" s="23" t="s">
        <v>56</v>
      </c>
      <c r="H60" s="24">
        <v>4.1666666666666664E-2</v>
      </c>
      <c r="I60" s="25">
        <v>0.66666666666666663</v>
      </c>
      <c r="J60" s="25">
        <v>0.70833333333333337</v>
      </c>
    </row>
    <row r="61" spans="1:10" x14ac:dyDescent="0.2">
      <c r="A61" s="21">
        <v>46155</v>
      </c>
      <c r="B61" s="21" t="s">
        <v>35</v>
      </c>
      <c r="C61" s="22" t="s">
        <v>14</v>
      </c>
      <c r="D61" s="22"/>
      <c r="E61" s="22" t="s">
        <v>57</v>
      </c>
      <c r="F61" s="22" t="s">
        <v>16</v>
      </c>
      <c r="G61" s="23" t="s">
        <v>58</v>
      </c>
      <c r="H61" s="24">
        <f t="shared" si="0"/>
        <v>0</v>
      </c>
      <c r="I61" s="25"/>
      <c r="J61" s="25"/>
    </row>
    <row r="62" spans="1:10" x14ac:dyDescent="0.2">
      <c r="A62" s="21">
        <v>46156</v>
      </c>
      <c r="B62" s="21" t="s">
        <v>42</v>
      </c>
      <c r="C62" s="22" t="s">
        <v>14</v>
      </c>
      <c r="D62" s="22"/>
      <c r="E62" s="22" t="s">
        <v>57</v>
      </c>
      <c r="F62" s="22" t="s">
        <v>16</v>
      </c>
      <c r="G62" s="23" t="s">
        <v>58</v>
      </c>
      <c r="H62" s="24">
        <f t="shared" si="0"/>
        <v>0</v>
      </c>
      <c r="I62" s="25"/>
      <c r="J62" s="25"/>
    </row>
    <row r="63" spans="1:10" x14ac:dyDescent="0.2">
      <c r="A63" s="21">
        <v>46157</v>
      </c>
      <c r="B63" s="21" t="s">
        <v>13</v>
      </c>
      <c r="C63" s="22" t="s">
        <v>14</v>
      </c>
      <c r="D63" s="22"/>
      <c r="E63" s="22" t="s">
        <v>57</v>
      </c>
      <c r="F63" s="22" t="s">
        <v>16</v>
      </c>
      <c r="G63" s="23" t="s">
        <v>58</v>
      </c>
      <c r="H63" s="24">
        <f t="shared" si="0"/>
        <v>0</v>
      </c>
      <c r="I63" s="25"/>
      <c r="J63" s="25"/>
    </row>
    <row r="64" spans="1:10" x14ac:dyDescent="0.2">
      <c r="A64" s="16">
        <v>46158</v>
      </c>
      <c r="B64" s="16" t="s">
        <v>18</v>
      </c>
      <c r="C64" s="17"/>
      <c r="D64" s="17"/>
      <c r="E64" s="17"/>
      <c r="F64" s="17"/>
      <c r="G64" s="18"/>
      <c r="H64" s="19">
        <f t="shared" si="0"/>
        <v>0</v>
      </c>
      <c r="I64" s="20"/>
      <c r="J64" s="20"/>
    </row>
    <row r="65" spans="1:10" x14ac:dyDescent="0.2">
      <c r="A65" s="16">
        <v>46159</v>
      </c>
      <c r="B65" s="16" t="s">
        <v>19</v>
      </c>
      <c r="C65" s="17"/>
      <c r="D65" s="17"/>
      <c r="E65" s="17"/>
      <c r="F65" s="17"/>
      <c r="G65" s="18"/>
      <c r="H65" s="19">
        <f t="shared" si="0"/>
        <v>0</v>
      </c>
      <c r="I65" s="20"/>
      <c r="J65" s="20"/>
    </row>
    <row r="66" spans="1:10" x14ac:dyDescent="0.2">
      <c r="A66" s="21">
        <v>46160</v>
      </c>
      <c r="B66" s="21" t="s">
        <v>20</v>
      </c>
      <c r="C66" s="22" t="s">
        <v>14</v>
      </c>
      <c r="D66" s="22"/>
      <c r="E66" s="22" t="s">
        <v>50</v>
      </c>
      <c r="F66" s="22" t="s">
        <v>16</v>
      </c>
      <c r="G66" s="23" t="s">
        <v>51</v>
      </c>
      <c r="H66" s="24">
        <f t="shared" si="0"/>
        <v>2.083333333333337E-2</v>
      </c>
      <c r="I66" s="25">
        <v>0.33333333333333331</v>
      </c>
      <c r="J66" s="25">
        <v>0.35416666666666669</v>
      </c>
    </row>
    <row r="67" spans="1:10" x14ac:dyDescent="0.2">
      <c r="A67" s="21">
        <v>46160</v>
      </c>
      <c r="B67" s="21" t="s">
        <v>20</v>
      </c>
      <c r="C67" s="22" t="s">
        <v>14</v>
      </c>
      <c r="D67" s="22"/>
      <c r="E67" s="22" t="s">
        <v>52</v>
      </c>
      <c r="F67" s="22" t="s">
        <v>16</v>
      </c>
      <c r="G67" s="23" t="s">
        <v>53</v>
      </c>
      <c r="H67" s="24">
        <v>0.10416666666666667</v>
      </c>
      <c r="I67" s="25">
        <v>0.35416666666666669</v>
      </c>
      <c r="J67" s="25">
        <v>0.45833333333333331</v>
      </c>
    </row>
    <row r="68" spans="1:10" x14ac:dyDescent="0.2">
      <c r="A68" s="21">
        <v>46160</v>
      </c>
      <c r="B68" s="21" t="s">
        <v>20</v>
      </c>
      <c r="C68" s="22" t="s">
        <v>14</v>
      </c>
      <c r="D68" s="22"/>
      <c r="E68" s="22" t="s">
        <v>50</v>
      </c>
      <c r="F68" s="22" t="s">
        <v>16</v>
      </c>
      <c r="G68" s="23" t="s">
        <v>55</v>
      </c>
      <c r="H68" s="24">
        <v>4.1666666666666664E-2</v>
      </c>
      <c r="I68" s="25">
        <v>0.45833333333333331</v>
      </c>
      <c r="J68" s="25">
        <v>0.5</v>
      </c>
    </row>
    <row r="69" spans="1:10" x14ac:dyDescent="0.2">
      <c r="A69" s="21">
        <v>46160</v>
      </c>
      <c r="B69" s="21" t="s">
        <v>20</v>
      </c>
      <c r="C69" s="22" t="s">
        <v>14</v>
      </c>
      <c r="D69" s="22"/>
      <c r="E69" s="22" t="s">
        <v>52</v>
      </c>
      <c r="F69" s="22" t="s">
        <v>16</v>
      </c>
      <c r="G69" s="23" t="s">
        <v>53</v>
      </c>
      <c r="H69" s="24">
        <v>4.1666666666666664E-2</v>
      </c>
      <c r="I69" s="25">
        <v>0.5</v>
      </c>
      <c r="J69" s="25">
        <v>0.54166666666666663</v>
      </c>
    </row>
    <row r="70" spans="1:10" x14ac:dyDescent="0.2">
      <c r="A70" s="21">
        <v>46160</v>
      </c>
      <c r="B70" s="21" t="s">
        <v>20</v>
      </c>
      <c r="C70" s="22" t="s">
        <v>14</v>
      </c>
      <c r="D70" s="22"/>
      <c r="E70" s="22" t="s">
        <v>52</v>
      </c>
      <c r="F70" s="22" t="s">
        <v>16</v>
      </c>
      <c r="G70" s="23" t="s">
        <v>53</v>
      </c>
      <c r="H70" s="24">
        <v>8.3333333333333329E-2</v>
      </c>
      <c r="I70" s="25">
        <v>0.58333333333333337</v>
      </c>
      <c r="J70" s="25">
        <v>0.66666666666666663</v>
      </c>
    </row>
    <row r="71" spans="1:10" x14ac:dyDescent="0.2">
      <c r="A71" s="21">
        <v>46160</v>
      </c>
      <c r="B71" s="21" t="s">
        <v>20</v>
      </c>
      <c r="C71" s="22" t="s">
        <v>14</v>
      </c>
      <c r="D71" s="22"/>
      <c r="E71" s="22" t="s">
        <v>50</v>
      </c>
      <c r="F71" s="22" t="s">
        <v>16</v>
      </c>
      <c r="G71" s="23" t="s">
        <v>56</v>
      </c>
      <c r="H71" s="24">
        <v>4.1666666666666664E-2</v>
      </c>
      <c r="I71" s="25">
        <v>0.66666666666666663</v>
      </c>
      <c r="J71" s="25">
        <v>0.70833333333333337</v>
      </c>
    </row>
    <row r="72" spans="1:10" x14ac:dyDescent="0.2">
      <c r="A72" s="21">
        <v>46161</v>
      </c>
      <c r="B72" s="21" t="s">
        <v>29</v>
      </c>
      <c r="C72" s="22" t="s">
        <v>14</v>
      </c>
      <c r="D72" s="22"/>
      <c r="E72" s="22" t="s">
        <v>50</v>
      </c>
      <c r="F72" s="22" t="s">
        <v>16</v>
      </c>
      <c r="G72" s="23" t="s">
        <v>51</v>
      </c>
      <c r="H72" s="24">
        <v>8.3333333333333332E-3</v>
      </c>
      <c r="I72" s="25">
        <v>0.33333333333333331</v>
      </c>
      <c r="J72" s="25">
        <v>0.34166666666666667</v>
      </c>
    </row>
    <row r="73" spans="1:10" x14ac:dyDescent="0.2">
      <c r="A73" s="21">
        <v>46161</v>
      </c>
      <c r="B73" s="21" t="s">
        <v>29</v>
      </c>
      <c r="C73" s="22" t="s">
        <v>14</v>
      </c>
      <c r="D73" s="22"/>
      <c r="E73" s="22" t="s">
        <v>52</v>
      </c>
      <c r="F73" s="22" t="s">
        <v>16</v>
      </c>
      <c r="G73" s="23" t="s">
        <v>53</v>
      </c>
      <c r="H73" s="24">
        <v>0.11666666666666667</v>
      </c>
      <c r="I73" s="25">
        <v>0.34166666666666667</v>
      </c>
      <c r="J73" s="25">
        <v>0.45833333333333331</v>
      </c>
    </row>
    <row r="74" spans="1:10" x14ac:dyDescent="0.2">
      <c r="A74" s="21">
        <v>46161</v>
      </c>
      <c r="B74" s="21" t="s">
        <v>29</v>
      </c>
      <c r="C74" s="22" t="s">
        <v>14</v>
      </c>
      <c r="D74" s="22"/>
      <c r="E74" s="22" t="s">
        <v>50</v>
      </c>
      <c r="F74" s="22" t="s">
        <v>16</v>
      </c>
      <c r="G74" s="23" t="s">
        <v>55</v>
      </c>
      <c r="H74" s="24">
        <v>6.9444444444444441E-3</v>
      </c>
      <c r="I74" s="25">
        <v>0.45833333333333331</v>
      </c>
      <c r="J74" s="25">
        <v>0.46527777777777779</v>
      </c>
    </row>
    <row r="75" spans="1:10" x14ac:dyDescent="0.2">
      <c r="A75" s="21">
        <v>46161</v>
      </c>
      <c r="B75" s="21" t="s">
        <v>29</v>
      </c>
      <c r="C75" s="22" t="s">
        <v>14</v>
      </c>
      <c r="D75" s="22"/>
      <c r="E75" s="22" t="s">
        <v>52</v>
      </c>
      <c r="F75" s="22" t="s">
        <v>16</v>
      </c>
      <c r="G75" s="23" t="s">
        <v>53</v>
      </c>
      <c r="H75" s="24">
        <v>3.4722222222222224E-2</v>
      </c>
      <c r="I75" s="25">
        <v>0.46527777777777779</v>
      </c>
      <c r="J75" s="25">
        <v>0.5</v>
      </c>
    </row>
    <row r="76" spans="1:10" x14ac:dyDescent="0.2">
      <c r="A76" s="21">
        <v>46161</v>
      </c>
      <c r="B76" s="21" t="s">
        <v>29</v>
      </c>
      <c r="C76" s="22" t="s">
        <v>14</v>
      </c>
      <c r="D76" s="22"/>
      <c r="E76" s="22" t="s">
        <v>52</v>
      </c>
      <c r="F76" s="22" t="s">
        <v>16</v>
      </c>
      <c r="G76" s="23" t="s">
        <v>53</v>
      </c>
      <c r="H76" s="24">
        <v>8.3333333333333329E-2</v>
      </c>
      <c r="I76" s="25">
        <v>0.54166666666666663</v>
      </c>
      <c r="J76" s="25">
        <v>0.66666666666666663</v>
      </c>
    </row>
    <row r="77" spans="1:10" x14ac:dyDescent="0.2">
      <c r="A77" s="21">
        <v>46161</v>
      </c>
      <c r="B77" s="21" t="s">
        <v>29</v>
      </c>
      <c r="C77" s="22" t="s">
        <v>14</v>
      </c>
      <c r="D77" s="22"/>
      <c r="E77" s="22" t="s">
        <v>50</v>
      </c>
      <c r="F77" s="22" t="s">
        <v>16</v>
      </c>
      <c r="G77" s="23" t="s">
        <v>56</v>
      </c>
      <c r="H77" s="24">
        <v>4.1666666666666664E-2</v>
      </c>
      <c r="I77" s="25">
        <v>0.66666666666666663</v>
      </c>
      <c r="J77" s="25">
        <v>0.70833333333333337</v>
      </c>
    </row>
    <row r="78" spans="1:10" x14ac:dyDescent="0.2">
      <c r="A78" s="21">
        <v>46162</v>
      </c>
      <c r="B78" s="21" t="s">
        <v>35</v>
      </c>
      <c r="C78" s="22" t="s">
        <v>14</v>
      </c>
      <c r="D78" s="22"/>
      <c r="E78" s="22" t="s">
        <v>50</v>
      </c>
      <c r="F78" s="22" t="s">
        <v>16</v>
      </c>
      <c r="G78" s="23" t="s">
        <v>51</v>
      </c>
      <c r="H78" s="24">
        <v>1.0416666666666666E-2</v>
      </c>
      <c r="I78" s="25">
        <v>0.33333333333333331</v>
      </c>
      <c r="J78" s="25">
        <v>0.34375</v>
      </c>
    </row>
    <row r="79" spans="1:10" x14ac:dyDescent="0.2">
      <c r="A79" s="21">
        <v>46162</v>
      </c>
      <c r="B79" s="21" t="s">
        <v>35</v>
      </c>
      <c r="C79" s="22" t="s">
        <v>14</v>
      </c>
      <c r="D79" s="22"/>
      <c r="E79" s="22" t="s">
        <v>52</v>
      </c>
      <c r="F79" s="22" t="s">
        <v>16</v>
      </c>
      <c r="G79" s="23" t="s">
        <v>53</v>
      </c>
      <c r="H79" s="24">
        <v>0.11458333333333333</v>
      </c>
      <c r="I79" s="25">
        <v>0.34375</v>
      </c>
      <c r="J79" s="25">
        <v>0.45833333333333331</v>
      </c>
    </row>
    <row r="80" spans="1:10" x14ac:dyDescent="0.2">
      <c r="A80" s="21">
        <v>46162</v>
      </c>
      <c r="B80" s="21" t="s">
        <v>35</v>
      </c>
      <c r="C80" s="22" t="s">
        <v>14</v>
      </c>
      <c r="D80" s="22"/>
      <c r="E80" s="22" t="s">
        <v>50</v>
      </c>
      <c r="F80" s="22" t="s">
        <v>16</v>
      </c>
      <c r="G80" s="23" t="s">
        <v>55</v>
      </c>
      <c r="H80" s="24">
        <f t="shared" si="0"/>
        <v>6.9444444444444753E-3</v>
      </c>
      <c r="I80" s="25">
        <v>0.45833333333333331</v>
      </c>
      <c r="J80" s="25">
        <v>0.46527777777777779</v>
      </c>
    </row>
    <row r="81" spans="1:10" x14ac:dyDescent="0.2">
      <c r="A81" s="21">
        <v>46162</v>
      </c>
      <c r="B81" s="21" t="s">
        <v>35</v>
      </c>
      <c r="C81" s="22" t="s">
        <v>14</v>
      </c>
      <c r="D81" s="22"/>
      <c r="E81" s="22" t="s">
        <v>52</v>
      </c>
      <c r="F81" s="22" t="s">
        <v>16</v>
      </c>
      <c r="G81" s="23" t="s">
        <v>53</v>
      </c>
      <c r="H81" s="24">
        <v>7.6388888888888895E-2</v>
      </c>
      <c r="I81" s="25">
        <v>0.46527777777777779</v>
      </c>
      <c r="J81" s="25">
        <v>0.54166666666666663</v>
      </c>
    </row>
    <row r="82" spans="1:10" x14ac:dyDescent="0.2">
      <c r="A82" s="21">
        <v>46162</v>
      </c>
      <c r="B82" s="21" t="s">
        <v>35</v>
      </c>
      <c r="C82" s="22" t="s">
        <v>14</v>
      </c>
      <c r="D82" s="22"/>
      <c r="E82" s="22" t="s">
        <v>50</v>
      </c>
      <c r="F82" s="22" t="s">
        <v>16</v>
      </c>
      <c r="G82" s="23" t="s">
        <v>54</v>
      </c>
      <c r="H82" s="24">
        <v>8.3333333333333329E-2</v>
      </c>
      <c r="I82" s="25">
        <v>0.58333333333333337</v>
      </c>
      <c r="J82" s="25">
        <v>0.66666666666666663</v>
      </c>
    </row>
    <row r="83" spans="1:10" x14ac:dyDescent="0.2">
      <c r="A83" s="21">
        <v>46162</v>
      </c>
      <c r="B83" s="21" t="s">
        <v>35</v>
      </c>
      <c r="C83" s="22" t="s">
        <v>14</v>
      </c>
      <c r="D83" s="22"/>
      <c r="E83" s="22" t="s">
        <v>50</v>
      </c>
      <c r="F83" s="22" t="s">
        <v>16</v>
      </c>
      <c r="G83" s="23" t="s">
        <v>56</v>
      </c>
      <c r="H83" s="24">
        <v>2.0833333333333332E-2</v>
      </c>
      <c r="I83" s="25">
        <v>0.66666666666666663</v>
      </c>
      <c r="J83" s="25">
        <v>0.6875</v>
      </c>
    </row>
    <row r="84" spans="1:10" x14ac:dyDescent="0.2">
      <c r="A84" s="21">
        <v>46162</v>
      </c>
      <c r="B84" s="21" t="s">
        <v>35</v>
      </c>
      <c r="C84" s="22" t="s">
        <v>14</v>
      </c>
      <c r="D84" s="22"/>
      <c r="E84" s="22" t="s">
        <v>52</v>
      </c>
      <c r="F84" s="22" t="s">
        <v>16</v>
      </c>
      <c r="G84" s="23" t="s">
        <v>53</v>
      </c>
      <c r="H84" s="24">
        <v>4.1666666666666664E-2</v>
      </c>
      <c r="I84" s="25">
        <v>0.6875</v>
      </c>
      <c r="J84" s="25">
        <v>0.72916666666666663</v>
      </c>
    </row>
    <row r="85" spans="1:10" x14ac:dyDescent="0.2">
      <c r="A85" s="21">
        <v>46163</v>
      </c>
      <c r="B85" s="21" t="s">
        <v>42</v>
      </c>
      <c r="C85" s="22" t="s">
        <v>14</v>
      </c>
      <c r="D85" s="22"/>
      <c r="E85" s="22" t="s">
        <v>50</v>
      </c>
      <c r="F85" s="22" t="s">
        <v>16</v>
      </c>
      <c r="G85" s="23" t="s">
        <v>51</v>
      </c>
      <c r="H85" s="24">
        <v>6.9444444444444441E-3</v>
      </c>
      <c r="I85" s="25">
        <v>0.33333333333333331</v>
      </c>
      <c r="J85" s="25">
        <v>0.34027777777777779</v>
      </c>
    </row>
    <row r="86" spans="1:10" x14ac:dyDescent="0.2">
      <c r="A86" s="21">
        <v>46163</v>
      </c>
      <c r="B86" s="21" t="s">
        <v>42</v>
      </c>
      <c r="C86" s="22" t="s">
        <v>14</v>
      </c>
      <c r="D86" s="22"/>
      <c r="E86" s="22" t="s">
        <v>52</v>
      </c>
      <c r="F86" s="22" t="s">
        <v>16</v>
      </c>
      <c r="G86" s="23" t="s">
        <v>59</v>
      </c>
      <c r="H86" s="24">
        <v>0.11805555555555555</v>
      </c>
      <c r="I86" s="25">
        <v>0.34027777777777779</v>
      </c>
      <c r="J86" s="25">
        <v>0.45833333333333331</v>
      </c>
    </row>
    <row r="87" spans="1:10" x14ac:dyDescent="0.2">
      <c r="A87" s="21">
        <v>46163</v>
      </c>
      <c r="B87" s="21" t="s">
        <v>42</v>
      </c>
      <c r="C87" s="22" t="s">
        <v>14</v>
      </c>
      <c r="D87" s="22"/>
      <c r="E87" s="22" t="s">
        <v>50</v>
      </c>
      <c r="F87" s="22" t="s">
        <v>16</v>
      </c>
      <c r="G87" s="23" t="s">
        <v>55</v>
      </c>
      <c r="H87" s="24">
        <v>1.7361111111111112E-2</v>
      </c>
      <c r="I87" s="25">
        <v>0.45833333333333331</v>
      </c>
      <c r="J87" s="25">
        <v>0.47569444444444442</v>
      </c>
    </row>
    <row r="88" spans="1:10" x14ac:dyDescent="0.2">
      <c r="A88" s="21">
        <v>46163</v>
      </c>
      <c r="B88" s="21" t="s">
        <v>42</v>
      </c>
      <c r="C88" s="22" t="s">
        <v>14</v>
      </c>
      <c r="D88" s="22"/>
      <c r="E88" s="22" t="s">
        <v>52</v>
      </c>
      <c r="F88" s="22" t="s">
        <v>16</v>
      </c>
      <c r="G88" s="23" t="s">
        <v>59</v>
      </c>
      <c r="H88" s="24">
        <v>6.5972222222222224E-2</v>
      </c>
      <c r="I88" s="25">
        <v>0.47569444444444442</v>
      </c>
      <c r="J88" s="25">
        <v>0.54166666666666663</v>
      </c>
    </row>
    <row r="89" spans="1:10" x14ac:dyDescent="0.2">
      <c r="A89" s="21">
        <v>46163</v>
      </c>
      <c r="B89" s="21" t="s">
        <v>42</v>
      </c>
      <c r="C89" s="22" t="s">
        <v>14</v>
      </c>
      <c r="D89" s="22"/>
      <c r="E89" s="22" t="s">
        <v>52</v>
      </c>
      <c r="F89" s="22" t="s">
        <v>16</v>
      </c>
      <c r="G89" s="23" t="s">
        <v>59</v>
      </c>
      <c r="H89" s="24">
        <v>8.3333333333333329E-2</v>
      </c>
      <c r="I89" s="25">
        <v>0.58333333333333337</v>
      </c>
      <c r="J89" s="25">
        <v>0.66666666666666663</v>
      </c>
    </row>
    <row r="90" spans="1:10" x14ac:dyDescent="0.2">
      <c r="A90" s="21">
        <v>46163</v>
      </c>
      <c r="B90" s="21" t="s">
        <v>42</v>
      </c>
      <c r="C90" s="22" t="s">
        <v>14</v>
      </c>
      <c r="D90" s="22"/>
      <c r="E90" s="22" t="s">
        <v>50</v>
      </c>
      <c r="F90" s="22" t="s">
        <v>16</v>
      </c>
      <c r="G90" s="23" t="s">
        <v>56</v>
      </c>
      <c r="H90" s="24">
        <f t="shared" si="0"/>
        <v>4.9305555555555602E-2</v>
      </c>
      <c r="I90" s="25">
        <v>0.66666666666666663</v>
      </c>
      <c r="J90" s="25">
        <v>0.71597222222222223</v>
      </c>
    </row>
    <row r="91" spans="1:10" x14ac:dyDescent="0.2">
      <c r="A91" s="21">
        <v>46164</v>
      </c>
      <c r="B91" s="21" t="s">
        <v>13</v>
      </c>
      <c r="C91" s="22" t="s">
        <v>14</v>
      </c>
      <c r="D91" s="22"/>
      <c r="E91" s="22" t="s">
        <v>50</v>
      </c>
      <c r="F91" s="22" t="s">
        <v>16</v>
      </c>
      <c r="G91" s="23" t="s">
        <v>51</v>
      </c>
      <c r="H91" s="24">
        <f t="shared" si="0"/>
        <v>1.5972222222222221E-2</v>
      </c>
      <c r="I91" s="25">
        <v>0.33333333333333331</v>
      </c>
      <c r="J91" s="25">
        <v>0.34930555555555554</v>
      </c>
    </row>
    <row r="92" spans="1:10" x14ac:dyDescent="0.2">
      <c r="A92" s="21">
        <v>46164</v>
      </c>
      <c r="B92" s="21" t="s">
        <v>13</v>
      </c>
      <c r="C92" s="22" t="s">
        <v>14</v>
      </c>
      <c r="D92" s="22"/>
      <c r="E92" s="22" t="s">
        <v>52</v>
      </c>
      <c r="F92" s="22" t="s">
        <v>16</v>
      </c>
      <c r="G92" s="23" t="s">
        <v>59</v>
      </c>
      <c r="H92" s="24">
        <v>0.11597222222222223</v>
      </c>
      <c r="I92" s="25">
        <v>0.34930555555555554</v>
      </c>
      <c r="J92" s="25">
        <v>0.45833333333333331</v>
      </c>
    </row>
    <row r="93" spans="1:10" x14ac:dyDescent="0.2">
      <c r="A93" s="21">
        <v>46164</v>
      </c>
      <c r="B93" s="21" t="s">
        <v>13</v>
      </c>
      <c r="C93" s="22" t="s">
        <v>14</v>
      </c>
      <c r="D93" s="22"/>
      <c r="E93" s="22" t="s">
        <v>50</v>
      </c>
      <c r="F93" s="22" t="s">
        <v>16</v>
      </c>
      <c r="G93" s="23" t="s">
        <v>55</v>
      </c>
      <c r="H93" s="24">
        <v>2.2222222222222223E-2</v>
      </c>
      <c r="I93" s="25">
        <v>0.45833333333333331</v>
      </c>
      <c r="J93" s="25">
        <v>0.48055555555555557</v>
      </c>
    </row>
    <row r="94" spans="1:10" x14ac:dyDescent="0.2">
      <c r="A94" s="21">
        <v>46164</v>
      </c>
      <c r="B94" s="21" t="s">
        <v>13</v>
      </c>
      <c r="C94" s="22" t="s">
        <v>14</v>
      </c>
      <c r="D94" s="22"/>
      <c r="E94" s="22" t="s">
        <v>52</v>
      </c>
      <c r="F94" s="22" t="s">
        <v>16</v>
      </c>
      <c r="G94" s="23" t="s">
        <v>59</v>
      </c>
      <c r="H94" s="24">
        <v>6.1111111111111109E-2</v>
      </c>
      <c r="I94" s="25">
        <v>0.48055555555555557</v>
      </c>
      <c r="J94" s="25">
        <v>0.54166666666666663</v>
      </c>
    </row>
    <row r="95" spans="1:10" x14ac:dyDescent="0.2">
      <c r="A95" s="21">
        <v>46164</v>
      </c>
      <c r="B95" s="21" t="s">
        <v>13</v>
      </c>
      <c r="C95" s="22" t="s">
        <v>14</v>
      </c>
      <c r="D95" s="22"/>
      <c r="E95" s="22" t="s">
        <v>52</v>
      </c>
      <c r="F95" s="22" t="s">
        <v>16</v>
      </c>
      <c r="G95" s="23" t="s">
        <v>59</v>
      </c>
      <c r="H95" s="24">
        <v>8.3333333333333329E-2</v>
      </c>
      <c r="I95" s="25">
        <v>0.58333333333333337</v>
      </c>
      <c r="J95" s="25">
        <v>0.66666666666666663</v>
      </c>
    </row>
    <row r="96" spans="1:10" x14ac:dyDescent="0.2">
      <c r="A96" s="21">
        <v>46164</v>
      </c>
      <c r="B96" s="21" t="s">
        <v>13</v>
      </c>
      <c r="C96" s="22" t="s">
        <v>14</v>
      </c>
      <c r="D96" s="22"/>
      <c r="E96" s="22" t="s">
        <v>50</v>
      </c>
      <c r="F96" s="22" t="s">
        <v>16</v>
      </c>
      <c r="G96" s="23" t="s">
        <v>56</v>
      </c>
      <c r="H96" s="24">
        <v>6.8750000000000006E-2</v>
      </c>
      <c r="I96" s="25">
        <v>0.66666666666666663</v>
      </c>
      <c r="J96" s="25">
        <v>0.73541666666666672</v>
      </c>
    </row>
    <row r="97" spans="1:10" x14ac:dyDescent="0.2">
      <c r="A97" s="16">
        <v>46165</v>
      </c>
      <c r="B97" s="16" t="s">
        <v>18</v>
      </c>
      <c r="C97" s="17"/>
      <c r="D97" s="17"/>
      <c r="E97" s="17"/>
      <c r="F97" s="17"/>
      <c r="G97" s="18"/>
      <c r="H97" s="19">
        <f t="shared" si="0"/>
        <v>0</v>
      </c>
      <c r="I97" s="20"/>
      <c r="J97" s="20"/>
    </row>
    <row r="98" spans="1:10" x14ac:dyDescent="0.2">
      <c r="A98" s="16">
        <v>46166</v>
      </c>
      <c r="B98" s="16" t="s">
        <v>19</v>
      </c>
      <c r="C98" s="17"/>
      <c r="D98" s="17"/>
      <c r="E98" s="17"/>
      <c r="F98" s="17"/>
      <c r="G98" s="18"/>
      <c r="H98" s="19">
        <f t="shared" si="0"/>
        <v>0</v>
      </c>
      <c r="I98" s="20"/>
      <c r="J98" s="20"/>
    </row>
    <row r="99" spans="1:10" x14ac:dyDescent="0.2">
      <c r="A99" s="21">
        <v>46167</v>
      </c>
      <c r="B99" s="21" t="s">
        <v>20</v>
      </c>
      <c r="C99" s="22" t="s">
        <v>14</v>
      </c>
      <c r="D99" s="22"/>
      <c r="E99" s="22" t="s">
        <v>50</v>
      </c>
      <c r="F99" s="22" t="s">
        <v>16</v>
      </c>
      <c r="G99" s="23" t="s">
        <v>51</v>
      </c>
      <c r="H99" s="24">
        <f t="shared" si="0"/>
        <v>2.083333333333337E-2</v>
      </c>
      <c r="I99" s="25">
        <v>0.33333333333333331</v>
      </c>
      <c r="J99" s="25">
        <v>0.35416666666666669</v>
      </c>
    </row>
    <row r="100" spans="1:10" x14ac:dyDescent="0.2">
      <c r="A100" s="21">
        <v>46167</v>
      </c>
      <c r="B100" s="21" t="s">
        <v>20</v>
      </c>
      <c r="C100" s="22" t="s">
        <v>14</v>
      </c>
      <c r="D100" s="22"/>
      <c r="E100" s="22" t="s">
        <v>52</v>
      </c>
      <c r="F100" s="22" t="s">
        <v>16</v>
      </c>
      <c r="G100" s="23" t="s">
        <v>60</v>
      </c>
      <c r="H100" s="24">
        <v>0.10416666666666667</v>
      </c>
      <c r="I100" s="25">
        <v>0.35416666666666669</v>
      </c>
      <c r="J100" s="25">
        <v>0.45833333333333331</v>
      </c>
    </row>
    <row r="101" spans="1:10" x14ac:dyDescent="0.2">
      <c r="A101" s="21">
        <v>46167</v>
      </c>
      <c r="B101" s="21" t="s">
        <v>20</v>
      </c>
      <c r="C101" s="22" t="s">
        <v>14</v>
      </c>
      <c r="D101" s="22"/>
      <c r="E101" s="22" t="s">
        <v>50</v>
      </c>
      <c r="F101" s="22" t="s">
        <v>16</v>
      </c>
      <c r="G101" s="23" t="s">
        <v>55</v>
      </c>
      <c r="H101" s="24">
        <v>4.1666666666666664E-2</v>
      </c>
      <c r="I101" s="25">
        <v>0.45833333333333331</v>
      </c>
      <c r="J101" s="25">
        <v>0.5</v>
      </c>
    </row>
    <row r="102" spans="1:10" x14ac:dyDescent="0.2">
      <c r="A102" s="21">
        <v>46167</v>
      </c>
      <c r="B102" s="21" t="s">
        <v>20</v>
      </c>
      <c r="C102" s="22" t="s">
        <v>14</v>
      </c>
      <c r="D102" s="22"/>
      <c r="E102" s="22" t="s">
        <v>52</v>
      </c>
      <c r="F102" s="22" t="s">
        <v>16</v>
      </c>
      <c r="G102" s="23" t="s">
        <v>60</v>
      </c>
      <c r="H102" s="24">
        <v>4.1666666666666664E-2</v>
      </c>
      <c r="I102" s="25">
        <v>0.5</v>
      </c>
      <c r="J102" s="25">
        <v>0.54166666666666663</v>
      </c>
    </row>
    <row r="103" spans="1:10" x14ac:dyDescent="0.2">
      <c r="A103" s="21">
        <v>46167</v>
      </c>
      <c r="B103" s="21" t="s">
        <v>20</v>
      </c>
      <c r="C103" s="22" t="s">
        <v>14</v>
      </c>
      <c r="D103" s="22"/>
      <c r="E103" s="22" t="s">
        <v>52</v>
      </c>
      <c r="F103" s="22" t="s">
        <v>16</v>
      </c>
      <c r="G103" s="23" t="s">
        <v>60</v>
      </c>
      <c r="H103" s="24">
        <v>8.3333333333333329E-2</v>
      </c>
      <c r="I103" s="25">
        <v>0.58333333333333337</v>
      </c>
      <c r="J103" s="25">
        <v>0.66666666666666663</v>
      </c>
    </row>
    <row r="104" spans="1:10" x14ac:dyDescent="0.2">
      <c r="A104" s="21">
        <v>46167</v>
      </c>
      <c r="B104" s="21" t="s">
        <v>20</v>
      </c>
      <c r="C104" s="22" t="s">
        <v>14</v>
      </c>
      <c r="D104" s="22"/>
      <c r="E104" s="22" t="s">
        <v>50</v>
      </c>
      <c r="F104" s="22" t="s">
        <v>16</v>
      </c>
      <c r="G104" s="23" t="s">
        <v>56</v>
      </c>
      <c r="H104" s="24">
        <v>4.1666666666666664E-2</v>
      </c>
      <c r="I104" s="25">
        <v>0.66666666666666663</v>
      </c>
      <c r="J104" s="25">
        <v>0.70833333333333337</v>
      </c>
    </row>
    <row r="105" spans="1:10" x14ac:dyDescent="0.2">
      <c r="A105" s="21">
        <v>46168</v>
      </c>
      <c r="B105" s="21" t="s">
        <v>29</v>
      </c>
      <c r="C105" s="22" t="s">
        <v>14</v>
      </c>
      <c r="D105" s="22"/>
      <c r="E105" s="22" t="s">
        <v>50</v>
      </c>
      <c r="F105" s="22" t="s">
        <v>16</v>
      </c>
      <c r="G105" s="23" t="s">
        <v>51</v>
      </c>
      <c r="H105" s="24">
        <v>8.3333333333333332E-3</v>
      </c>
      <c r="I105" s="25">
        <v>0.33333333333333331</v>
      </c>
      <c r="J105" s="25">
        <v>0.34166666666666667</v>
      </c>
    </row>
    <row r="106" spans="1:10" x14ac:dyDescent="0.2">
      <c r="A106" s="21">
        <v>46168</v>
      </c>
      <c r="B106" s="21" t="s">
        <v>29</v>
      </c>
      <c r="C106" s="22" t="s">
        <v>14</v>
      </c>
      <c r="D106" s="22"/>
      <c r="E106" s="22" t="s">
        <v>52</v>
      </c>
      <c r="F106" s="22" t="s">
        <v>16</v>
      </c>
      <c r="G106" s="23" t="s">
        <v>60</v>
      </c>
      <c r="H106" s="24">
        <v>0.11666666666666667</v>
      </c>
      <c r="I106" s="25">
        <v>0.34166666666666667</v>
      </c>
      <c r="J106" s="25">
        <v>0.45833333333333331</v>
      </c>
    </row>
    <row r="107" spans="1:10" x14ac:dyDescent="0.2">
      <c r="A107" s="21">
        <v>46168</v>
      </c>
      <c r="B107" s="21" t="s">
        <v>29</v>
      </c>
      <c r="C107" s="22" t="s">
        <v>14</v>
      </c>
      <c r="D107" s="22"/>
      <c r="E107" s="22" t="s">
        <v>50</v>
      </c>
      <c r="F107" s="22" t="s">
        <v>16</v>
      </c>
      <c r="G107" s="23" t="s">
        <v>55</v>
      </c>
      <c r="H107" s="24">
        <v>6.9444444444444441E-3</v>
      </c>
      <c r="I107" s="25">
        <v>0.45833333333333331</v>
      </c>
      <c r="J107" s="25">
        <v>0.46527777777777779</v>
      </c>
    </row>
    <row r="108" spans="1:10" x14ac:dyDescent="0.2">
      <c r="A108" s="21">
        <v>46168</v>
      </c>
      <c r="B108" s="21" t="s">
        <v>29</v>
      </c>
      <c r="C108" s="22" t="s">
        <v>14</v>
      </c>
      <c r="D108" s="22"/>
      <c r="E108" s="22" t="s">
        <v>52</v>
      </c>
      <c r="F108" s="22" t="s">
        <v>16</v>
      </c>
      <c r="G108" s="23" t="s">
        <v>60</v>
      </c>
      <c r="H108" s="24">
        <v>3.4722222222222224E-2</v>
      </c>
      <c r="I108" s="25">
        <v>0.46527777777777779</v>
      </c>
      <c r="J108" s="25">
        <v>0.5</v>
      </c>
    </row>
    <row r="109" spans="1:10" x14ac:dyDescent="0.2">
      <c r="A109" s="21">
        <v>46168</v>
      </c>
      <c r="B109" s="21" t="s">
        <v>29</v>
      </c>
      <c r="C109" s="22" t="s">
        <v>14</v>
      </c>
      <c r="D109" s="22"/>
      <c r="E109" s="22" t="s">
        <v>52</v>
      </c>
      <c r="F109" s="22" t="s">
        <v>16</v>
      </c>
      <c r="G109" s="23" t="s">
        <v>60</v>
      </c>
      <c r="H109" s="24">
        <v>8.3333333333333329E-2</v>
      </c>
      <c r="I109" s="25">
        <v>0.54166666666666663</v>
      </c>
      <c r="J109" s="25">
        <v>0.60416666666666663</v>
      </c>
    </row>
    <row r="110" spans="1:10" x14ac:dyDescent="0.2">
      <c r="A110" s="21">
        <v>46168</v>
      </c>
      <c r="B110" s="21" t="s">
        <v>29</v>
      </c>
      <c r="C110" s="22" t="s">
        <v>14</v>
      </c>
      <c r="D110" s="22"/>
      <c r="E110" s="22" t="s">
        <v>50</v>
      </c>
      <c r="F110" s="22" t="s">
        <v>16</v>
      </c>
      <c r="G110" s="23" t="s">
        <v>54</v>
      </c>
      <c r="H110" s="24">
        <v>6.25E-2</v>
      </c>
      <c r="I110" s="25">
        <v>0.60416666666666663</v>
      </c>
      <c r="J110" s="25">
        <v>0.66666666666666663</v>
      </c>
    </row>
    <row r="111" spans="1:10" x14ac:dyDescent="0.2">
      <c r="A111" s="21">
        <v>46168</v>
      </c>
      <c r="B111" s="21" t="s">
        <v>29</v>
      </c>
      <c r="C111" s="22" t="s">
        <v>14</v>
      </c>
      <c r="D111" s="22"/>
      <c r="E111" s="22" t="s">
        <v>50</v>
      </c>
      <c r="F111" s="22" t="s">
        <v>16</v>
      </c>
      <c r="G111" s="23" t="s">
        <v>56</v>
      </c>
      <c r="H111" s="24">
        <v>4.1666666666666664E-2</v>
      </c>
      <c r="I111" s="25">
        <v>0.66666666666666663</v>
      </c>
      <c r="J111" s="25">
        <v>0.70833333333333337</v>
      </c>
    </row>
    <row r="112" spans="1:10" x14ac:dyDescent="0.2">
      <c r="A112" s="21">
        <v>46169</v>
      </c>
      <c r="B112" s="21" t="s">
        <v>35</v>
      </c>
      <c r="C112" s="22" t="s">
        <v>14</v>
      </c>
      <c r="D112" s="22"/>
      <c r="E112" s="22" t="s">
        <v>50</v>
      </c>
      <c r="F112" s="22" t="s">
        <v>16</v>
      </c>
      <c r="G112" s="23" t="s">
        <v>51</v>
      </c>
      <c r="H112" s="24">
        <v>1.0416666666666666E-2</v>
      </c>
      <c r="I112" s="25">
        <v>0.33333333333333331</v>
      </c>
      <c r="J112" s="25">
        <v>0.34375</v>
      </c>
    </row>
    <row r="113" spans="1:10" x14ac:dyDescent="0.2">
      <c r="A113" s="21">
        <v>46169</v>
      </c>
      <c r="B113" s="21" t="s">
        <v>35</v>
      </c>
      <c r="C113" s="22" t="s">
        <v>14</v>
      </c>
      <c r="D113" s="22"/>
      <c r="E113" s="22" t="s">
        <v>52</v>
      </c>
      <c r="F113" s="22" t="s">
        <v>16</v>
      </c>
      <c r="G113" s="23" t="s">
        <v>60</v>
      </c>
      <c r="H113" s="24">
        <v>0.11458333333333333</v>
      </c>
      <c r="I113" s="25">
        <v>0.34375</v>
      </c>
      <c r="J113" s="25">
        <v>0.45833333333333331</v>
      </c>
    </row>
    <row r="114" spans="1:10" x14ac:dyDescent="0.2">
      <c r="A114" s="21">
        <v>46169</v>
      </c>
      <c r="B114" s="21" t="s">
        <v>35</v>
      </c>
      <c r="C114" s="22" t="s">
        <v>14</v>
      </c>
      <c r="D114" s="22"/>
      <c r="E114" s="22" t="s">
        <v>50</v>
      </c>
      <c r="F114" s="22" t="s">
        <v>16</v>
      </c>
      <c r="G114" s="23" t="s">
        <v>55</v>
      </c>
      <c r="H114" s="24">
        <f t="shared" ref="H114" si="1">J114-I114</f>
        <v>6.9444444444444753E-3</v>
      </c>
      <c r="I114" s="25">
        <v>0.45833333333333331</v>
      </c>
      <c r="J114" s="25">
        <v>0.46527777777777779</v>
      </c>
    </row>
    <row r="115" spans="1:10" x14ac:dyDescent="0.2">
      <c r="A115" s="21">
        <v>46169</v>
      </c>
      <c r="B115" s="21" t="s">
        <v>35</v>
      </c>
      <c r="C115" s="22" t="s">
        <v>14</v>
      </c>
      <c r="D115" s="22"/>
      <c r="E115" s="22" t="s">
        <v>52</v>
      </c>
      <c r="F115" s="22" t="s">
        <v>16</v>
      </c>
      <c r="G115" s="23" t="s">
        <v>60</v>
      </c>
      <c r="H115" s="24">
        <v>7.6388888888888895E-2</v>
      </c>
      <c r="I115" s="25">
        <v>0.46527777777777779</v>
      </c>
      <c r="J115" s="25">
        <v>0.54166666666666663</v>
      </c>
    </row>
    <row r="116" spans="1:10" x14ac:dyDescent="0.2">
      <c r="A116" s="21">
        <v>46169</v>
      </c>
      <c r="B116" s="21" t="s">
        <v>35</v>
      </c>
      <c r="C116" s="22" t="s">
        <v>14</v>
      </c>
      <c r="D116" s="22"/>
      <c r="E116" s="22" t="s">
        <v>50</v>
      </c>
      <c r="F116" s="22" t="s">
        <v>16</v>
      </c>
      <c r="G116" s="23" t="s">
        <v>54</v>
      </c>
      <c r="H116" s="24">
        <v>8.3333333333333329E-2</v>
      </c>
      <c r="I116" s="25">
        <v>0.58333333333333337</v>
      </c>
      <c r="J116" s="25">
        <v>0.66666666666666663</v>
      </c>
    </row>
    <row r="117" spans="1:10" x14ac:dyDescent="0.2">
      <c r="A117" s="21">
        <v>46169</v>
      </c>
      <c r="B117" s="21" t="s">
        <v>35</v>
      </c>
      <c r="C117" s="22" t="s">
        <v>14</v>
      </c>
      <c r="D117" s="22"/>
      <c r="E117" s="22" t="s">
        <v>50</v>
      </c>
      <c r="F117" s="22" t="s">
        <v>16</v>
      </c>
      <c r="G117" s="23" t="s">
        <v>61</v>
      </c>
      <c r="H117" s="24">
        <v>8.3333333333333329E-2</v>
      </c>
      <c r="I117" s="25">
        <v>0.66666666666666663</v>
      </c>
      <c r="J117" s="25">
        <v>0.75</v>
      </c>
    </row>
    <row r="118" spans="1:10" x14ac:dyDescent="0.2">
      <c r="A118" s="21">
        <v>46170</v>
      </c>
      <c r="B118" s="21" t="s">
        <v>42</v>
      </c>
      <c r="C118" s="22" t="s">
        <v>14</v>
      </c>
      <c r="D118" s="22"/>
      <c r="E118" s="22" t="s">
        <v>50</v>
      </c>
      <c r="F118" s="22" t="s">
        <v>16</v>
      </c>
      <c r="G118" s="23" t="s">
        <v>51</v>
      </c>
      <c r="H118" s="24">
        <v>6.9444444444444441E-3</v>
      </c>
      <c r="I118" s="25">
        <v>0.33333333333333331</v>
      </c>
      <c r="J118" s="25">
        <v>0.34027777777777779</v>
      </c>
    </row>
    <row r="119" spans="1:10" x14ac:dyDescent="0.2">
      <c r="A119" s="21">
        <v>46170</v>
      </c>
      <c r="B119" s="21" t="s">
        <v>42</v>
      </c>
      <c r="C119" s="22" t="s">
        <v>14</v>
      </c>
      <c r="D119" s="22"/>
      <c r="E119" s="22" t="s">
        <v>52</v>
      </c>
      <c r="F119" s="22" t="s">
        <v>16</v>
      </c>
      <c r="G119" s="23" t="s">
        <v>62</v>
      </c>
      <c r="H119" s="24">
        <v>0.11805555555555555</v>
      </c>
      <c r="I119" s="25">
        <v>0.34027777777777779</v>
      </c>
      <c r="J119" s="25">
        <v>0.45833333333333331</v>
      </c>
    </row>
    <row r="120" spans="1:10" x14ac:dyDescent="0.2">
      <c r="A120" s="21">
        <v>46170</v>
      </c>
      <c r="B120" s="21" t="s">
        <v>42</v>
      </c>
      <c r="C120" s="22" t="s">
        <v>14</v>
      </c>
      <c r="D120" s="22"/>
      <c r="E120" s="22" t="s">
        <v>50</v>
      </c>
      <c r="F120" s="22" t="s">
        <v>16</v>
      </c>
      <c r="G120" s="23" t="s">
        <v>55</v>
      </c>
      <c r="H120" s="24">
        <v>1.7361111111111112E-2</v>
      </c>
      <c r="I120" s="25">
        <v>0.45833333333333331</v>
      </c>
      <c r="J120" s="25">
        <v>0.47569444444444442</v>
      </c>
    </row>
    <row r="121" spans="1:10" x14ac:dyDescent="0.2">
      <c r="A121" s="21">
        <v>46170</v>
      </c>
      <c r="B121" s="21" t="s">
        <v>42</v>
      </c>
      <c r="C121" s="22" t="s">
        <v>14</v>
      </c>
      <c r="D121" s="22"/>
      <c r="E121" s="22" t="s">
        <v>52</v>
      </c>
      <c r="F121" s="22" t="s">
        <v>16</v>
      </c>
      <c r="G121" s="23" t="s">
        <v>62</v>
      </c>
      <c r="H121" s="24">
        <v>6.5972222222222224E-2</v>
      </c>
      <c r="I121" s="25">
        <v>0.47569444444444442</v>
      </c>
      <c r="J121" s="25">
        <v>0.54166666666666663</v>
      </c>
    </row>
    <row r="122" spans="1:10" x14ac:dyDescent="0.2">
      <c r="A122" s="21">
        <v>46170</v>
      </c>
      <c r="B122" s="21" t="s">
        <v>42</v>
      </c>
      <c r="C122" s="22" t="s">
        <v>14</v>
      </c>
      <c r="D122" s="22"/>
      <c r="E122" s="22" t="s">
        <v>52</v>
      </c>
      <c r="F122" s="22" t="s">
        <v>16</v>
      </c>
      <c r="G122" s="23" t="s">
        <v>62</v>
      </c>
      <c r="H122" s="24">
        <v>8.3333333333333329E-2</v>
      </c>
      <c r="I122" s="25">
        <v>0.58333333333333337</v>
      </c>
      <c r="J122" s="25">
        <v>0.625</v>
      </c>
    </row>
    <row r="123" spans="1:10" x14ac:dyDescent="0.2">
      <c r="A123" s="21">
        <v>46170</v>
      </c>
      <c r="B123" s="21" t="s">
        <v>42</v>
      </c>
      <c r="C123" s="22" t="s">
        <v>14</v>
      </c>
      <c r="D123" s="22"/>
      <c r="E123" s="22" t="s">
        <v>50</v>
      </c>
      <c r="F123" s="22" t="s">
        <v>16</v>
      </c>
      <c r="G123" s="23" t="s">
        <v>54</v>
      </c>
      <c r="H123" s="24">
        <v>4.1666666666666664E-2</v>
      </c>
      <c r="I123" s="25">
        <v>0.625</v>
      </c>
      <c r="J123" s="25">
        <v>0.66666666666666663</v>
      </c>
    </row>
    <row r="124" spans="1:10" x14ac:dyDescent="0.2">
      <c r="A124" s="21">
        <v>46170</v>
      </c>
      <c r="B124" s="21" t="s">
        <v>42</v>
      </c>
      <c r="C124" s="22" t="s">
        <v>14</v>
      </c>
      <c r="D124" s="22"/>
      <c r="E124" s="22" t="s">
        <v>50</v>
      </c>
      <c r="F124" s="22" t="s">
        <v>16</v>
      </c>
      <c r="G124" s="23" t="s">
        <v>56</v>
      </c>
      <c r="H124" s="24">
        <f t="shared" ref="H124:H126" si="2">J124-I124</f>
        <v>4.1666666666666741E-2</v>
      </c>
      <c r="I124" s="25">
        <v>0.66666666666666663</v>
      </c>
      <c r="J124" s="25">
        <v>0.70833333333333337</v>
      </c>
    </row>
    <row r="125" spans="1:10" x14ac:dyDescent="0.2">
      <c r="A125" s="21">
        <v>46170</v>
      </c>
      <c r="B125" s="21" t="s">
        <v>42</v>
      </c>
      <c r="C125" s="22" t="s">
        <v>14</v>
      </c>
      <c r="D125" s="22"/>
      <c r="E125" s="22" t="s">
        <v>50</v>
      </c>
      <c r="F125" s="22" t="s">
        <v>16</v>
      </c>
      <c r="G125" s="23" t="s">
        <v>63</v>
      </c>
      <c r="H125" s="24">
        <v>2.0833333333333332E-2</v>
      </c>
      <c r="I125" s="25">
        <v>0.70833333333333337</v>
      </c>
      <c r="J125" s="25">
        <v>0.72916666666666663</v>
      </c>
    </row>
    <row r="126" spans="1:10" x14ac:dyDescent="0.2">
      <c r="A126" s="21">
        <v>46171</v>
      </c>
      <c r="B126" s="21" t="s">
        <v>13</v>
      </c>
      <c r="C126" s="22" t="s">
        <v>14</v>
      </c>
      <c r="D126" s="22"/>
      <c r="E126" s="22" t="s">
        <v>50</v>
      </c>
      <c r="F126" s="22" t="s">
        <v>16</v>
      </c>
      <c r="G126" s="23" t="s">
        <v>51</v>
      </c>
      <c r="H126" s="24">
        <f t="shared" si="2"/>
        <v>1.5972222222222221E-2</v>
      </c>
      <c r="I126" s="25">
        <v>0.33333333333333331</v>
      </c>
      <c r="J126" s="25">
        <v>0.34930555555555554</v>
      </c>
    </row>
    <row r="127" spans="1:10" x14ac:dyDescent="0.2">
      <c r="A127" s="21">
        <v>46171</v>
      </c>
      <c r="B127" s="21" t="s">
        <v>13</v>
      </c>
      <c r="C127" s="22" t="s">
        <v>14</v>
      </c>
      <c r="D127" s="22"/>
      <c r="E127" s="22" t="s">
        <v>52</v>
      </c>
      <c r="F127" s="22" t="s">
        <v>16</v>
      </c>
      <c r="G127" s="23" t="s">
        <v>59</v>
      </c>
      <c r="H127" s="24">
        <v>0.11597222222222223</v>
      </c>
      <c r="I127" s="25">
        <v>0.34930555555555554</v>
      </c>
      <c r="J127" s="25">
        <v>0.45833333333333331</v>
      </c>
    </row>
    <row r="128" spans="1:10" x14ac:dyDescent="0.2">
      <c r="A128" s="21">
        <v>46171</v>
      </c>
      <c r="B128" s="21" t="s">
        <v>13</v>
      </c>
      <c r="C128" s="22" t="s">
        <v>14</v>
      </c>
      <c r="D128" s="22"/>
      <c r="E128" s="22" t="s">
        <v>50</v>
      </c>
      <c r="F128" s="22" t="s">
        <v>16</v>
      </c>
      <c r="G128" s="23" t="s">
        <v>55</v>
      </c>
      <c r="H128" s="24">
        <v>2.2222222222222223E-2</v>
      </c>
      <c r="I128" s="25">
        <v>0.45833333333333331</v>
      </c>
      <c r="J128" s="25">
        <v>0.48055555555555557</v>
      </c>
    </row>
    <row r="129" spans="1:10" x14ac:dyDescent="0.2">
      <c r="A129" s="21">
        <v>46171</v>
      </c>
      <c r="B129" s="21" t="s">
        <v>13</v>
      </c>
      <c r="C129" s="22" t="s">
        <v>14</v>
      </c>
      <c r="D129" s="22"/>
      <c r="E129" s="22" t="s">
        <v>52</v>
      </c>
      <c r="F129" s="22" t="s">
        <v>16</v>
      </c>
      <c r="G129" s="23" t="s">
        <v>62</v>
      </c>
      <c r="H129" s="24">
        <v>6.1111111111111109E-2</v>
      </c>
      <c r="I129" s="25">
        <v>0.48055555555555557</v>
      </c>
      <c r="J129" s="25">
        <v>0.54166666666666663</v>
      </c>
    </row>
    <row r="130" spans="1:10" x14ac:dyDescent="0.2">
      <c r="A130" s="21">
        <v>46171</v>
      </c>
      <c r="B130" s="21" t="s">
        <v>13</v>
      </c>
      <c r="C130" s="22" t="s">
        <v>14</v>
      </c>
      <c r="D130" s="22"/>
      <c r="E130" s="22" t="s">
        <v>52</v>
      </c>
      <c r="F130" s="22" t="s">
        <v>16</v>
      </c>
      <c r="G130" s="23" t="s">
        <v>62</v>
      </c>
      <c r="H130" s="24">
        <v>8.3333333333333329E-2</v>
      </c>
      <c r="I130" s="25">
        <v>0.58333333333333337</v>
      </c>
      <c r="J130" s="25">
        <v>0.66666666666666663</v>
      </c>
    </row>
    <row r="131" spans="1:10" x14ac:dyDescent="0.2">
      <c r="A131" s="21">
        <v>46171</v>
      </c>
      <c r="B131" s="21" t="s">
        <v>13</v>
      </c>
      <c r="C131" s="22" t="s">
        <v>14</v>
      </c>
      <c r="D131" s="22"/>
      <c r="E131" s="22" t="s">
        <v>50</v>
      </c>
      <c r="F131" s="22" t="s">
        <v>16</v>
      </c>
      <c r="G131" s="23" t="s">
        <v>56</v>
      </c>
      <c r="H131" s="24">
        <v>6.8750000000000006E-2</v>
      </c>
      <c r="I131" s="25">
        <v>0.66666666666666663</v>
      </c>
      <c r="J131" s="25">
        <v>0.73541666666666672</v>
      </c>
    </row>
    <row r="132" spans="1:10" x14ac:dyDescent="0.2">
      <c r="A132" s="16">
        <v>46172</v>
      </c>
      <c r="B132" s="16" t="s">
        <v>18</v>
      </c>
      <c r="C132" s="17"/>
      <c r="D132" s="17"/>
      <c r="E132" s="17"/>
      <c r="F132" s="17"/>
      <c r="G132" s="18"/>
      <c r="H132" s="19">
        <f t="shared" si="0"/>
        <v>0</v>
      </c>
      <c r="I132" s="20"/>
      <c r="J132" s="20"/>
    </row>
    <row r="133" spans="1:10" ht="13.95" customHeight="1" x14ac:dyDescent="0.25">
      <c r="A133" s="16">
        <v>46173</v>
      </c>
      <c r="B133" s="16" t="s">
        <v>19</v>
      </c>
      <c r="C133" s="17"/>
      <c r="D133" s="26"/>
      <c r="E133" s="26"/>
      <c r="F133" s="17"/>
      <c r="G133" s="26"/>
      <c r="H133" s="19">
        <f t="shared" si="0"/>
        <v>0</v>
      </c>
      <c r="I133" s="27"/>
      <c r="J133" s="17"/>
    </row>
    <row r="134" spans="1:10" ht="13.95" customHeight="1" thickBot="1" x14ac:dyDescent="0.3">
      <c r="A134" s="28"/>
      <c r="B134" s="29"/>
      <c r="C134" s="29"/>
      <c r="D134" s="29"/>
      <c r="E134" s="29"/>
      <c r="F134" s="29"/>
      <c r="G134" s="29"/>
      <c r="H134" s="30"/>
      <c r="I134" s="1"/>
    </row>
    <row r="135" spans="1:10" ht="13.95" customHeight="1" x14ac:dyDescent="0.25">
      <c r="A135" s="31"/>
      <c r="B135" s="31"/>
      <c r="C135" s="32"/>
      <c r="D135" s="33"/>
      <c r="E135" s="34" t="s">
        <v>64</v>
      </c>
      <c r="F135" s="35">
        <v>160</v>
      </c>
      <c r="H135" s="3"/>
    </row>
    <row r="136" spans="1:10" ht="13.95" customHeight="1" thickBot="1" x14ac:dyDescent="0.3">
      <c r="A136" s="31"/>
      <c r="B136" s="31"/>
      <c r="C136" s="36"/>
      <c r="D136" s="37"/>
      <c r="E136" s="38" t="s">
        <v>65</v>
      </c>
      <c r="F136" s="39">
        <v>20</v>
      </c>
      <c r="H136" s="3"/>
    </row>
    <row r="137" spans="1:10" ht="13.95" customHeight="1" thickBot="1" x14ac:dyDescent="0.3">
      <c r="A137" s="40" t="s">
        <v>66</v>
      </c>
      <c r="B137" s="40"/>
      <c r="C137" s="40"/>
      <c r="D137" s="41"/>
      <c r="E137" s="37"/>
      <c r="F137" s="37"/>
      <c r="H137" s="3"/>
    </row>
    <row r="138" spans="1:10" ht="13.8" x14ac:dyDescent="0.25">
      <c r="A138" s="42"/>
      <c r="B138" s="42"/>
      <c r="C138" s="33"/>
      <c r="D138" s="33"/>
      <c r="E138" s="43" t="s">
        <v>67</v>
      </c>
      <c r="F138" s="44">
        <f>SUMIF(F9:F133,"Billable",H9:H133)</f>
        <v>0</v>
      </c>
      <c r="H138" s="45"/>
    </row>
    <row r="139" spans="1:10" ht="15" customHeight="1" thickBot="1" x14ac:dyDescent="0.3">
      <c r="A139" s="46" t="s">
        <v>68</v>
      </c>
      <c r="B139" s="46"/>
      <c r="C139" s="46"/>
      <c r="D139" s="47"/>
      <c r="E139" s="48" t="s">
        <v>69</v>
      </c>
      <c r="F139" s="49">
        <f>SUMIF(F9:F133,"Non-Billable",H9:H133)</f>
        <v>6.1798611111111112</v>
      </c>
      <c r="H139" s="3"/>
    </row>
    <row r="140" spans="1:10" ht="14.4" thickBot="1" x14ac:dyDescent="0.3">
      <c r="A140" s="37"/>
      <c r="B140" s="37"/>
      <c r="C140" s="37"/>
      <c r="D140" s="37"/>
      <c r="E140" s="50" t="s">
        <v>70</v>
      </c>
      <c r="F140" s="51">
        <f>F138+F139</f>
        <v>6.1798611111111112</v>
      </c>
      <c r="H140" s="3"/>
    </row>
    <row r="141" spans="1:10" ht="13.8" thickBot="1" x14ac:dyDescent="0.3">
      <c r="A141" s="37"/>
      <c r="B141" s="37"/>
      <c r="C141" s="37"/>
      <c r="D141" s="37"/>
      <c r="E141" s="37"/>
      <c r="F141" s="37"/>
      <c r="H141" s="3"/>
    </row>
    <row r="142" spans="1:10" ht="13.8" thickBot="1" x14ac:dyDescent="0.3">
      <c r="A142" s="37"/>
      <c r="B142" s="37"/>
      <c r="C142" s="37"/>
      <c r="D142" s="37"/>
      <c r="E142" s="52" t="s">
        <v>71</v>
      </c>
      <c r="F142" s="53"/>
      <c r="H142" s="3"/>
    </row>
    <row r="143" spans="1:10" ht="13.2" thickBot="1" x14ac:dyDescent="0.25">
      <c r="E143" s="54"/>
      <c r="H143" s="3"/>
    </row>
  </sheetData>
  <mergeCells count="2">
    <mergeCell ref="A137:C137"/>
    <mergeCell ref="A139:C139"/>
  </mergeCells>
  <conditionalFormatting sqref="A6:B6 D6:E7">
    <cfRule type="containsText" dxfId="15" priority="10" operator="containsText" text="Religious Leave">
      <formula>NOT(ISERROR(SEARCH("Religious Leave",A6)))</formula>
    </cfRule>
    <cfRule type="containsText" dxfId="14" priority="11" operator="containsText" text="Birthday Leave">
      <formula>NOT(ISERROR(SEARCH("Birthday Leave",A6)))</formula>
    </cfRule>
    <cfRule type="containsText" dxfId="13" priority="12" operator="containsText" text="Study Leave">
      <formula>NOT(ISERROR(SEARCH("Study Leave",A6)))</formula>
    </cfRule>
    <cfRule type="containsText" dxfId="12" priority="13" operator="containsText" text="Family Responsibility Leave">
      <formula>NOT(ISERROR(SEARCH("Family Responsibility Leave",A6)))</formula>
    </cfRule>
    <cfRule type="containsText" dxfId="11" priority="14" operator="containsText" text="Sick Leave">
      <formula>NOT(ISERROR(SEARCH("Sick Leave",A6)))</formula>
    </cfRule>
    <cfRule type="containsText" dxfId="10" priority="15" operator="containsText" text="Annual Leave">
      <formula>NOT(ISERROR(SEARCH("Annual Leave",A6)))</formula>
    </cfRule>
    <cfRule type="cellIs" dxfId="9" priority="16" operator="equal">
      <formula>"Public Holiday"</formula>
    </cfRule>
  </conditionalFormatting>
  <conditionalFormatting sqref="B7:B143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33:E135 D137:E139 E142">
    <cfRule type="containsText" dxfId="6" priority="1" operator="containsText" text="Religious Leave">
      <formula>NOT(ISERROR(SEARCH("Religious Leave",D133)))</formula>
    </cfRule>
    <cfRule type="containsText" dxfId="5" priority="2" operator="containsText" text="Birthday Leave">
      <formula>NOT(ISERROR(SEARCH("Birthday Leave",D133)))</formula>
    </cfRule>
    <cfRule type="containsText" dxfId="4" priority="3" operator="containsText" text="Study Leave">
      <formula>NOT(ISERROR(SEARCH("Study Leave",D133)))</formula>
    </cfRule>
    <cfRule type="containsText" dxfId="3" priority="4" operator="containsText" text="Family Responsibility Leave">
      <formula>NOT(ISERROR(SEARCH("Family Responsibility Leave",D133)))</formula>
    </cfRule>
    <cfRule type="containsText" dxfId="2" priority="5" operator="containsText" text="Sick Leave">
      <formula>NOT(ISERROR(SEARCH("Sick Leave",D133)))</formula>
    </cfRule>
    <cfRule type="containsText" dxfId="1" priority="6" operator="containsText" text="Annual Leave">
      <formula>NOT(ISERROR(SEARCH("Annual Leave",D133)))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32" xr:uid="{FF719405-198E-4B96-B70A-41753E4E5B17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Charmane Mchunu</dc:creator>
  <cp:lastModifiedBy>Charmane Mchunu</cp:lastModifiedBy>
  <dcterms:created xsi:type="dcterms:W3CDTF">2026-06-17T06:47:33Z</dcterms:created>
  <dcterms:modified xsi:type="dcterms:W3CDTF">2026-06-17T06:48:07Z</dcterms:modified>
</cp:coreProperties>
</file>