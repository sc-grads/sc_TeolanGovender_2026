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8_{642D99BA-BB8E-4C76-AA98-8569978DD319}" xr6:coauthVersionLast="47" xr6:coauthVersionMax="47" xr10:uidLastSave="{00000000-0000-0000-0000-000000000000}"/>
  <bookViews>
    <workbookView xWindow="-108" yWindow="-108" windowWidth="23256" windowHeight="12456" firstSheet="3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6" i="6" l="1"/>
  <c r="H155" i="6"/>
  <c r="H154" i="6"/>
  <c r="H153" i="6"/>
  <c r="H152" i="6"/>
  <c r="H151" i="6"/>
  <c r="H150" i="6"/>
  <c r="H149" i="6"/>
  <c r="H148" i="6"/>
  <c r="H147" i="6"/>
  <c r="H146" i="6"/>
  <c r="H145" i="6"/>
  <c r="H144" i="6"/>
  <c r="H119" i="6"/>
  <c r="H140" i="6"/>
  <c r="H139" i="6"/>
  <c r="H138" i="6"/>
  <c r="H137" i="6"/>
  <c r="H136" i="6"/>
  <c r="H135" i="6"/>
  <c r="H134" i="6"/>
  <c r="H132" i="6"/>
  <c r="H131" i="6"/>
  <c r="H130" i="6"/>
  <c r="H129" i="6"/>
  <c r="H128" i="6"/>
  <c r="H127" i="6"/>
  <c r="H126" i="6"/>
  <c r="H125" i="6"/>
  <c r="H124" i="6"/>
  <c r="H122" i="6"/>
  <c r="H121" i="6"/>
  <c r="H120" i="6"/>
  <c r="H118" i="6"/>
  <c r="H117" i="6"/>
  <c r="H115" i="6"/>
  <c r="H114" i="6"/>
  <c r="H113" i="6"/>
  <c r="H112" i="6"/>
  <c r="H111" i="6"/>
  <c r="H110" i="6"/>
  <c r="H105" i="6"/>
  <c r="H104" i="6"/>
  <c r="H102" i="6"/>
  <c r="H103" i="6"/>
  <c r="H106" i="6"/>
  <c r="H107" i="6"/>
  <c r="H108" i="6"/>
  <c r="H98" i="6"/>
  <c r="H97" i="6"/>
  <c r="H96" i="6"/>
  <c r="H95" i="6"/>
  <c r="H94" i="6"/>
  <c r="H93" i="6"/>
  <c r="H92" i="6"/>
  <c r="H90" i="6"/>
  <c r="H89" i="6"/>
  <c r="H88" i="6"/>
  <c r="H87" i="6"/>
  <c r="H86" i="6"/>
  <c r="H85" i="6"/>
  <c r="H83" i="6"/>
  <c r="H82" i="6"/>
  <c r="H81" i="6"/>
  <c r="H80" i="6"/>
  <c r="H79" i="6"/>
  <c r="H77" i="6"/>
  <c r="H76" i="6"/>
  <c r="H75" i="6"/>
  <c r="H74" i="6"/>
  <c r="H72" i="6"/>
  <c r="H71" i="6"/>
  <c r="H70" i="6"/>
  <c r="H69" i="6"/>
  <c r="H68" i="6"/>
  <c r="H67" i="6"/>
  <c r="H66" i="6"/>
  <c r="H65" i="6"/>
  <c r="H64" i="6"/>
  <c r="H60" i="6"/>
  <c r="H46" i="6"/>
  <c r="H59" i="6" l="1"/>
  <c r="H58" i="6"/>
  <c r="H57" i="6"/>
  <c r="H56" i="6"/>
  <c r="H55" i="6"/>
  <c r="H54" i="6"/>
  <c r="H53" i="6"/>
  <c r="H52" i="6"/>
  <c r="H51" i="6"/>
  <c r="H50" i="6"/>
  <c r="H48" i="6"/>
  <c r="H39" i="6"/>
  <c r="H45" i="6"/>
  <c r="H44" i="6"/>
  <c r="H43" i="6"/>
  <c r="H42" i="6"/>
  <c r="H41" i="6"/>
  <c r="H38" i="6"/>
  <c r="H37" i="6"/>
  <c r="H36" i="6"/>
  <c r="H35" i="6"/>
  <c r="H33" i="6"/>
  <c r="H30" i="6"/>
  <c r="H32" i="6"/>
  <c r="H31" i="6"/>
  <c r="H29" i="6"/>
  <c r="H28" i="6"/>
  <c r="H24" i="6"/>
  <c r="H23" i="6"/>
  <c r="H22" i="6"/>
  <c r="H21" i="6"/>
  <c r="H18" i="6"/>
  <c r="H17" i="6"/>
  <c r="H16" i="6"/>
  <c r="H15" i="6"/>
  <c r="H12" i="6"/>
  <c r="H11" i="6"/>
  <c r="H10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9" i="6" l="1"/>
  <c r="H20" i="6"/>
  <c r="H25" i="6"/>
  <c r="H26" i="6"/>
  <c r="H27" i="6"/>
  <c r="H34" i="6"/>
  <c r="H40" i="6"/>
  <c r="H47" i="6"/>
  <c r="H49" i="6"/>
  <c r="H61" i="6"/>
  <c r="H62" i="6"/>
  <c r="H63" i="6"/>
  <c r="H73" i="6"/>
  <c r="H78" i="6"/>
  <c r="H84" i="6"/>
  <c r="H91" i="6"/>
  <c r="H99" i="6"/>
  <c r="H100" i="6"/>
  <c r="H101" i="6"/>
  <c r="H109" i="6"/>
  <c r="H116" i="6"/>
  <c r="H123" i="6"/>
  <c r="H133" i="6"/>
  <c r="H141" i="6"/>
  <c r="H142" i="6"/>
  <c r="H143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3" i="6" l="1"/>
  <c r="F158" i="6"/>
  <c r="H14" i="6"/>
  <c r="H10" i="3"/>
  <c r="F44" i="3" s="1"/>
  <c r="H11" i="3"/>
  <c r="H12" i="3"/>
  <c r="H13" i="3"/>
  <c r="F38" i="5"/>
  <c r="F41" i="3"/>
  <c r="F161" i="6" l="1"/>
  <c r="F162" i="6"/>
  <c r="F46" i="4"/>
  <c r="F43" i="5"/>
  <c r="B6" i="5"/>
  <c r="B6" i="4"/>
  <c r="F46" i="3"/>
  <c r="B6" i="3"/>
  <c r="F45" i="1"/>
  <c r="B6" i="1"/>
  <c r="F163" i="6" l="1"/>
  <c r="B6" i="6"/>
</calcChain>
</file>

<file path=xl/sharedStrings.xml><?xml version="1.0" encoding="utf-8"?>
<sst xmlns="http://schemas.openxmlformats.org/spreadsheetml/2006/main" count="1235" uniqueCount="326">
  <si>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</si>
  <si>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</si>
  <si>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</si>
  <si>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</si>
  <si>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</si>
  <si>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</si>
  <si>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</si>
  <si>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</si>
  <si>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</si>
  <si>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</si>
  <si>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</si>
  <si>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</si>
  <si>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</si>
  <si>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</si>
  <si>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</si>
  <si>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</si>
  <si>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</si>
  <si>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</si>
  <si>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</si>
  <si>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</si>
  <si>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</si>
  <si>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</si>
  <si>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</si>
  <si>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</si>
  <si>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</si>
  <si>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</si>
  <si>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</si>
  <si>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</si>
  <si>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</si>
  <si>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</si>
  <si>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</si>
  <si>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</si>
  <si>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</si>
  <si>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</si>
  <si>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</si>
  <si>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</si>
  <si>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</si>
  <si>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</si>
  <si>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</si>
  <si>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</si>
  <si>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</si>
  <si>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</si>
  <si>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</si>
  <si>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</si>
  <si>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</si>
  <si>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</si>
  <si>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</si>
  <si>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</si>
  <si>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</si>
  <si>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</si>
  <si>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</si>
  <si>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</si>
  <si>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</si>
  <si>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</si>
  <si>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</si>
  <si>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</si>
  <si>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</si>
  <si>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</si>
  <si>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</si>
  <si>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</si>
  <si>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</si>
  <si>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</si>
  <si>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</si>
  <si>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</si>
  <si>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</si>
  <si>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</si>
  <si>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</si>
  <si>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</si>
  <si>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</si>
  <si>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</si>
  <si>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</si>
  <si>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</si>
  <si>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</si>
  <si>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</si>
  <si>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</si>
  <si>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</si>
  <si>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</si>
  <si>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</si>
  <si>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</si>
  <si>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</si>
  <si>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</si>
  <si>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</si>
  <si>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</si>
  <si>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</si>
  <si>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</si>
  <si>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</si>
  <si>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</si>
  <si>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</si>
  <si>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</si>
  <si>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</si>
  <si>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</si>
  <si>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</si>
  <si>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</si>
  <si>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</si>
  <si>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</si>
  <si>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</si>
  <si>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</si>
  <si>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</si>
  <si>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</si>
  <si>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</si>
  <si>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</si>
  <si>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</si>
  <si>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</si>
  <si>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</si>
  <si>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</si>
  <si>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</si>
  <si>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Human Rights Day</t>
  </si>
  <si>
    <t>Example</t>
  </si>
  <si>
    <t>Detailed Description of task(s) done</t>
  </si>
  <si>
    <t>Day of Reconciliation</t>
  </si>
  <si>
    <t>Christmas</t>
  </si>
  <si>
    <t>Boxing Day</t>
  </si>
  <si>
    <t>Engelina</t>
  </si>
  <si>
    <t>Hamerl</t>
  </si>
  <si>
    <t>SBV</t>
  </si>
  <si>
    <t>Shaylin</t>
  </si>
  <si>
    <t>Amanda</t>
  </si>
  <si>
    <t>Ian</t>
  </si>
  <si>
    <t>Public holiday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</si>
  <si>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</si>
  <si>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</si>
  <si>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</si>
  <si>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</si>
  <si>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</si>
  <si>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</si>
  <si>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</si>
  <si>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</si>
  <si>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</si>
  <si>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</si>
  <si>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</si>
  <si>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</si>
  <si>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</si>
  <si>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</si>
  <si>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</si>
  <si>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</si>
  <si>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</si>
  <si>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</si>
  <si>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</si>
  <si>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</si>
  <si>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</si>
  <si>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</si>
  <si>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</si>
  <si>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</si>
  <si>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</si>
  <si>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</si>
  <si>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</si>
  <si>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</si>
  <si>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</si>
  <si>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</si>
  <si>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</si>
  <si>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</si>
  <si>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</si>
  <si>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</si>
  <si>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</si>
  <si>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</si>
  <si>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</si>
  <si>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</si>
  <si>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</si>
  <si>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</si>
  <si>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</si>
  <si>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</si>
  <si>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</si>
  <si>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</si>
  <si>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</si>
  <si>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</si>
  <si>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</si>
  <si>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</si>
  <si>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</si>
  <si>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</si>
  <si>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</si>
  <si>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</si>
  <si>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</si>
  <si>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</si>
  <si>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</si>
  <si>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</si>
  <si>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</si>
  <si>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</si>
  <si>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</si>
  <si>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</si>
  <si>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</si>
  <si>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</si>
  <si>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</si>
  <si>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</si>
  <si>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</si>
  <si>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</si>
  <si>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</si>
  <si>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</si>
  <si>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</si>
  <si>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</si>
  <si>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</si>
  <si>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</si>
  <si>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</si>
  <si>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</si>
  <si>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</si>
  <si>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</si>
  <si>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</si>
  <si>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</si>
  <si>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</si>
  <si>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</si>
  <si>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</si>
  <si>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</si>
  <si>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</si>
  <si>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</si>
  <si>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</si>
  <si>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</si>
  <si>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</si>
  <si>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</si>
  <si>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</si>
  <si>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</si>
  <si>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</si>
  <si>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</si>
  <si>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</si>
  <si>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</si>
  <si>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</si>
  <si>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</si>
  <si>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</si>
  <si>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</si>
  <si>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</si>
  <si>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</si>
  <si>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</si>
  <si>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</si>
  <si>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</si>
  <si>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</si>
  <si>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</si>
  <si>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</si>
  <si>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</si>
  <si>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</si>
  <si>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</si>
  <si>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Started working on the Dreamboards</t>
  </si>
  <si>
    <t>Meeting with Bongani Mondlane</t>
  </si>
  <si>
    <t>Meeting  Clement Tshivhase</t>
  </si>
  <si>
    <t>Data Management preperations</t>
  </si>
  <si>
    <t xml:space="preserve">
Met with Shaila and team - Discussed first activity (Dreamboards)</t>
  </si>
  <si>
    <t>Meeting  Clement Tshivhase and gave us another research topics (DBMS)</t>
  </si>
  <si>
    <t>Had a meeting with Angela on timesheets</t>
  </si>
  <si>
    <t>Continued with my week 2 research topics</t>
  </si>
  <si>
    <t>Meeting with the presenation team with our new team member</t>
  </si>
  <si>
    <t>had a one to one session with Bongani Mondlane</t>
  </si>
  <si>
    <t>Had a meeting with my presentation team</t>
  </si>
  <si>
    <t>Meeting with my presentation team</t>
  </si>
  <si>
    <t>Preparing for a presentation practice session with the team.</t>
  </si>
  <si>
    <t>Presentation practice session with the team.</t>
  </si>
  <si>
    <t>Presentation practice session with Clement Tshivhase and the team.</t>
  </si>
  <si>
    <t>Had a meeting with Meeting  Clement Tshivhase.</t>
  </si>
  <si>
    <t>Continued with my week 2 research topics.</t>
  </si>
  <si>
    <t>Albert</t>
  </si>
  <si>
    <t>Jabulane</t>
  </si>
  <si>
    <t>Learning</t>
  </si>
  <si>
    <t>Continued working on the Dreamboard and preparing to present</t>
  </si>
  <si>
    <t>Full day onboarding at the station office in Sunninghill received my work laptop</t>
  </si>
  <si>
    <t>Meeting with Clement Tshivhase and was provided with topics to do research on</t>
  </si>
  <si>
    <t>Started doing my research and  documented my research on Confluence</t>
  </si>
  <si>
    <t>Continued working on my research topics including the research on Data Management with my team</t>
  </si>
  <si>
    <t>Discussing with the team and 
rehearsing for the Data Management presentation</t>
  </si>
  <si>
    <t>Researched (DBMS) and prepared for Data Management presentation with the team</t>
  </si>
  <si>
    <t>Meeting  Clement Tshivhase and  was provided with week 2 research topics.</t>
  </si>
  <si>
    <t xml:space="preserve">Continued working on my presentation skills </t>
  </si>
  <si>
    <t>played around with Git</t>
  </si>
  <si>
    <t>Playing around Git  and refining my presentation skills</t>
  </si>
  <si>
    <t>Continued working on my research topics(Jira and Confluence) and preparing for the Data Management presentation</t>
  </si>
  <si>
    <t>Continued with my week 2 research topics (Agile project Management)</t>
  </si>
  <si>
    <t>Continued with my week 2 research topics (DBMS and Naming Conventions)</t>
  </si>
  <si>
    <t xml:space="preserve">Refined my research on the week 2 topics </t>
  </si>
  <si>
    <t xml:space="preserve">Continued on my research on my topics </t>
  </si>
  <si>
    <t>Started my research on my week 2 topics(Project Management) and fixed the presentation powerpoint.</t>
  </si>
  <si>
    <t>Meeting  Clement Tshivhase provided  us week 2 topics to research.</t>
  </si>
  <si>
    <t>Went to fix my documents and submited them</t>
  </si>
  <si>
    <t>Meeting with Bongani Mondlane and the team</t>
  </si>
  <si>
    <t>Meeting  Clement Tshivhase and the team</t>
  </si>
  <si>
    <t>Meeting with Bongani Mondlane and with the team</t>
  </si>
  <si>
    <t>Meeting with Bongani Mondlane, Clement Tshivhase and the team</t>
  </si>
  <si>
    <t>Meeting  Clement Tshivhase and the team and did presentation  test run</t>
  </si>
  <si>
    <t xml:space="preserve">Busy with  Git and Github and started my week 3 research </t>
  </si>
  <si>
    <t>Revision on Jira and confluence</t>
  </si>
  <si>
    <t>Meeting with Clement Tshivhase and was provided with week 3 topics to do research on.</t>
  </si>
  <si>
    <t xml:space="preserve">Preparing for a presentation practice </t>
  </si>
  <si>
    <t>Continued on the week 3 Research topics</t>
  </si>
  <si>
    <t>Met with the team to practice for the Data Management presentation</t>
  </si>
  <si>
    <t>Continued with week 3 research topics</t>
  </si>
  <si>
    <t>Meeting with Bongani and discussed week 2 topics</t>
  </si>
  <si>
    <t>Continued my research on week 3 topics and watched on softskills, and meet with team to practice for the presentation</t>
  </si>
  <si>
    <t>Continued with week 3 research  and did vocal exercises</t>
  </si>
  <si>
    <t>Data Management  presentation with Shaila, Angela and Nathalia and the team and meet with Bongani</t>
  </si>
  <si>
    <t>Meeting Clement Tshivhase and the team</t>
  </si>
  <si>
    <t>Started my GitHub and Git tutorial and also continued with week 3 research</t>
  </si>
  <si>
    <t>Meeting with Clement Tshivhase and the team.</t>
  </si>
  <si>
    <t>Data Management presentation preperations with the team</t>
  </si>
  <si>
    <t>Meeting  Clement Tshivhase and  the team</t>
  </si>
  <si>
    <t>Continued with the 11 hours GitHub and Git tutorial and also continued with the week 3 research</t>
  </si>
  <si>
    <t>Continued wit Git and Github tutuorial and did a bit of Git commands practice</t>
  </si>
  <si>
    <t>Meeting with the team and discussed Git</t>
  </si>
  <si>
    <t>Meeting  with Clement Tshivhase and the team</t>
  </si>
  <si>
    <t>Continued with Git and Github tutuorial</t>
  </si>
  <si>
    <t xml:space="preserve">Continued with Git and Github tutuorial  </t>
  </si>
  <si>
    <t>Continued with Git and Github tutuorial fixed my part on the Data Management powerpoint</t>
  </si>
  <si>
    <t>with</t>
  </si>
  <si>
    <t>Continued the Git and Github tutorial and started practicing Git commands had a short meeting with the team about the Data Management presentation</t>
  </si>
  <si>
    <t>1:1 Session with Clement Tshivhase and the team</t>
  </si>
  <si>
    <t>Meeting with Clement Tshivhase and the team</t>
  </si>
  <si>
    <t>Meeting with Angela  and the team</t>
  </si>
  <si>
    <t xml:space="preserve">Presentation practice session with the whole team and Clement </t>
  </si>
  <si>
    <t>Meeting with  Clement Tshivhase and the team and was provide with week 4 work before we got the Udemy licenses</t>
  </si>
  <si>
    <t xml:space="preserve">Meeting with Clement Tshivhase and was given new week 4 Udemy courses after we got our Udemy licenses </t>
  </si>
  <si>
    <t>Continued with the reaserch</t>
  </si>
  <si>
    <t>Presentation practice with the team</t>
  </si>
  <si>
    <t>Practice the Data Management presentation and started the Udemy Linux Fundamentals</t>
  </si>
  <si>
    <t>Meeting with Bongani Mondlane and the team and after did Linux commands</t>
  </si>
  <si>
    <t>Continued with Linux fundamentals</t>
  </si>
  <si>
    <t>Meeting with Clement Tshivhase</t>
  </si>
  <si>
    <t>Practice for the Data management presentation and did the Udemy Linux fundamentals a bit</t>
  </si>
  <si>
    <t>Continued with the Udemy Linux Fundamentals</t>
  </si>
  <si>
    <t>Continued with Udemy Linux Fundamentals</t>
  </si>
  <si>
    <t>Meeting with the team for presentation practice</t>
  </si>
  <si>
    <t>Data Management Presentation with the team</t>
  </si>
  <si>
    <t>Meeting with the team for the Software development lifecycle presentation</t>
  </si>
  <si>
    <t>Meeting with the for the Software development Life cycle</t>
  </si>
  <si>
    <t>Presentation Practice</t>
  </si>
  <si>
    <t>Continued with the Udemy Linux Fundamentals and finished it</t>
  </si>
  <si>
    <t>Did a bit of reflection the presentation</t>
  </si>
  <si>
    <t xml:space="preserve">Meeting with Clement Tshivhase and the team did Linux and Git commads </t>
  </si>
  <si>
    <t>Continued with the Linux Commads practice</t>
  </si>
  <si>
    <t>Meeting with Clement Tshivhase, Bongani Mondlane and the team</t>
  </si>
  <si>
    <t>Started the Udemy Excel course and took a break in between</t>
  </si>
  <si>
    <t>Timesheets</t>
  </si>
  <si>
    <t>Software Development Life Cycle presentation</t>
  </si>
  <si>
    <t>Continued with the Udemy Excel For Beginners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</si>
</sst>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8" totalsRowShown="0" headerRowDxfId="102" dataDxfId="101">
  <autoFilter ref="H2:H78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225</v>
      </c>
      <c r="H5" s="40"/>
    </row>
    <row r="6" spans="1:10" x14ac:dyDescent="0.2">
      <c r="A6" s="37" t="s">
        <v>92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45931</v>
      </c>
      <c r="B9" s="22" t="s">
        <v>19</v>
      </c>
      <c r="C9" s="27" t="s">
        <v>226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20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11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14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16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20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45961</v>
      </c>
      <c r="B39" s="22" t="s">
        <v>11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64"/>
      <c r="I40" s="65"/>
      <c r="J40" s="65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45962</v>
      </c>
      <c r="B9" s="31" t="s">
        <v>14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16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17</v>
      </c>
      <c r="C11" s="27" t="s">
        <v>132</v>
      </c>
      <c r="D11" s="27" t="s">
        <v>107</v>
      </c>
      <c r="E11" s="27" t="s">
        <v>31</v>
      </c>
      <c r="F11" s="27" t="s">
        <v>13</v>
      </c>
      <c r="G11" s="28" t="s">
        <v>108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11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14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16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17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11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14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16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17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11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14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16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17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18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19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11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f>F41*8</f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20</v>
      </c>
      <c r="H41" s="40"/>
    </row>
    <row r="42" spans="1:10" ht="13.95" customHeight="1" thickBot="1" x14ac:dyDescent="0.3">
      <c r="A42" s="116" t="s">
        <v>23</v>
      </c>
      <c r="B42" s="116"/>
      <c r="C42" s="116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7" t="s">
        <v>25</v>
      </c>
      <c r="B44" s="117"/>
      <c r="C44" s="117"/>
      <c r="D44" s="16"/>
      <c r="E44" s="17" t="s">
        <v>26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45992</v>
      </c>
      <c r="B9" s="22" t="s">
        <v>17</v>
      </c>
      <c r="C9" s="27" t="s">
        <v>132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18</v>
      </c>
      <c r="C24" s="48" t="s">
        <v>132</v>
      </c>
      <c r="D24" s="48"/>
      <c r="E24" s="48" t="s">
        <v>89</v>
      </c>
      <c r="F24" s="48" t="s">
        <v>15</v>
      </c>
      <c r="G24" s="49" t="s">
        <v>109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20</v>
      </c>
      <c r="C33" s="48" t="s">
        <v>132</v>
      </c>
      <c r="D33" s="48"/>
      <c r="E33" s="48" t="s">
        <v>89</v>
      </c>
      <c r="F33" s="48" t="s">
        <v>15</v>
      </c>
      <c r="G33" s="49" t="s">
        <v>110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11</v>
      </c>
      <c r="C34" s="48" t="s">
        <v>132</v>
      </c>
      <c r="D34" s="48"/>
      <c r="E34" s="48" t="s">
        <v>89</v>
      </c>
      <c r="F34" s="48" t="s">
        <v>15</v>
      </c>
      <c r="G34" s="49" t="s">
        <v>111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25">
      <c r="A39" s="22">
        <v>46022</v>
      </c>
      <c r="B39" s="22" t="s">
        <v>19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46023</v>
      </c>
      <c r="B9" s="47" t="s">
        <v>20</v>
      </c>
      <c r="C9" s="48" t="s">
        <v>132</v>
      </c>
      <c r="D9" s="48" t="s">
        <v>107</v>
      </c>
      <c r="E9" s="48" t="s">
        <v>89</v>
      </c>
      <c r="F9" s="48" t="s">
        <v>15</v>
      </c>
      <c r="G9" s="49" t="s">
        <v>118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11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14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16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17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18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11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14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16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17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18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11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14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16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17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18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11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14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16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17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18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20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11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14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zoomScale="75" zoomScaleNormal="75" workbookViewId="0">
      <selection activeCell="D4" sqref="D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F41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46054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17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46056</v>
      </c>
      <c r="B11" s="22" t="s">
        <v>18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11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14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16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17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46063</v>
      </c>
      <c r="B18" s="22" t="s">
        <v>18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46064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46065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11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14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17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18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11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14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16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17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18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20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11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31">
        <v>46081</v>
      </c>
      <c r="B36" s="31" t="s">
        <v>14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5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5" customHeight="1" x14ac:dyDescent="0.25">
      <c r="A38" s="4"/>
      <c r="B38" s="4"/>
      <c r="C38" s="5"/>
      <c r="D38" s="6"/>
      <c r="E38" s="7" t="s">
        <v>21</v>
      </c>
      <c r="F38" s="8">
        <f>F39*8</f>
        <v>160</v>
      </c>
      <c r="H38" s="40"/>
    </row>
    <row r="39" spans="1:10" ht="13.95" customHeight="1" thickBot="1" x14ac:dyDescent="0.3">
      <c r="A39" s="4"/>
      <c r="B39" s="4"/>
      <c r="C39" s="9"/>
      <c r="D39" s="2"/>
      <c r="E39" s="10" t="s">
        <v>22</v>
      </c>
      <c r="F39" s="11">
        <v>20</v>
      </c>
      <c r="H39" s="40"/>
    </row>
    <row r="40" spans="1:10" ht="13.95" customHeight="1" thickBot="1" x14ac:dyDescent="0.3">
      <c r="A40" s="116" t="s">
        <v>23</v>
      </c>
      <c r="B40" s="116"/>
      <c r="C40" s="116"/>
      <c r="D40" s="12"/>
      <c r="E40" s="2"/>
      <c r="F40" s="2"/>
      <c r="H40" s="40"/>
    </row>
    <row r="41" spans="1:10" ht="13.8" x14ac:dyDescent="0.25">
      <c r="A41" s="13"/>
      <c r="B41" s="13"/>
      <c r="C41" s="6"/>
      <c r="D41" s="6"/>
      <c r="E41" s="14" t="s">
        <v>24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7" t="s">
        <v>25</v>
      </c>
      <c r="B42" s="117"/>
      <c r="C42" s="117"/>
      <c r="D42" s="16"/>
      <c r="E42" s="17" t="s">
        <v>26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27</v>
      </c>
      <c r="F43" s="44">
        <f>F41+F42</f>
        <v>0.33333333333333331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28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66"/>
  <sheetViews>
    <sheetView tabSelected="1" zoomScale="75" zoomScaleNormal="75" workbookViewId="0">
      <selection activeCell="L166" sqref="L16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9" width="8.69921875" style="23"/>
    <col min="10" max="10" width="10.796875" style="23" customWidth="1"/>
    <col min="11" max="16384" width="8.69921875" style="23"/>
  </cols>
  <sheetData>
    <row r="5" spans="1:12" x14ac:dyDescent="0.2">
      <c r="A5" s="37" t="s">
        <v>2</v>
      </c>
      <c r="B5" s="23" t="s">
        <v>246</v>
      </c>
      <c r="C5" s="37"/>
      <c r="H5" s="40"/>
    </row>
    <row r="6" spans="1:12" x14ac:dyDescent="0.2">
      <c r="A6" s="37" t="s">
        <v>92</v>
      </c>
      <c r="B6" s="73">
        <f>F161</f>
        <v>0</v>
      </c>
      <c r="C6" s="37"/>
      <c r="D6" s="37"/>
      <c r="E6" s="37"/>
      <c r="H6" s="40"/>
      <c r="J6" s="41"/>
    </row>
    <row r="7" spans="1:12" x14ac:dyDescent="0.2">
      <c r="H7" s="40"/>
    </row>
    <row r="8" spans="1:12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2" x14ac:dyDescent="0.2">
      <c r="A9" s="31">
        <v>46082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2" ht="50.4" x14ac:dyDescent="0.2">
      <c r="A10" s="22">
        <v>46083</v>
      </c>
      <c r="B10" s="22" t="s">
        <v>17</v>
      </c>
      <c r="C10" s="27" t="s">
        <v>132</v>
      </c>
      <c r="D10" s="27"/>
      <c r="E10" s="27" t="s">
        <v>62</v>
      </c>
      <c r="F10" s="27" t="s">
        <v>15</v>
      </c>
      <c r="G10" s="28" t="s">
        <v>232</v>
      </c>
      <c r="H10" s="29">
        <f>J10-I10</f>
        <v>0.125</v>
      </c>
      <c r="I10" s="30">
        <v>0.33333333333333331</v>
      </c>
      <c r="J10" s="30">
        <v>0.45833333333333331</v>
      </c>
    </row>
    <row r="11" spans="1:12" x14ac:dyDescent="0.2">
      <c r="A11" s="22">
        <v>46083</v>
      </c>
      <c r="B11" s="22" t="s">
        <v>17</v>
      </c>
      <c r="C11" s="27" t="s">
        <v>132</v>
      </c>
      <c r="D11" s="27"/>
      <c r="E11" s="27" t="s">
        <v>33</v>
      </c>
      <c r="F11" s="27" t="s">
        <v>15</v>
      </c>
      <c r="G11" s="28" t="s">
        <v>228</v>
      </c>
      <c r="H11" s="29">
        <f>J11-I11</f>
        <v>8.3333333333333315E-2</v>
      </c>
      <c r="I11" s="30">
        <v>0.45833333333333331</v>
      </c>
      <c r="J11" s="30">
        <v>0.54166666666666663</v>
      </c>
    </row>
    <row r="12" spans="1:12" ht="37.799999999999997" x14ac:dyDescent="0.2">
      <c r="A12" s="22">
        <v>46083</v>
      </c>
      <c r="B12" s="22" t="s">
        <v>17</v>
      </c>
      <c r="C12" s="27" t="s">
        <v>132</v>
      </c>
      <c r="D12" s="27"/>
      <c r="E12" s="27" t="s">
        <v>33</v>
      </c>
      <c r="F12" s="27" t="s">
        <v>15</v>
      </c>
      <c r="G12" s="28" t="s">
        <v>248</v>
      </c>
      <c r="H12" s="29">
        <f>J12-I12</f>
        <v>0.16666666666666674</v>
      </c>
      <c r="I12" s="30">
        <v>0.54166666666666663</v>
      </c>
      <c r="J12" s="30">
        <v>0.70833333333333337</v>
      </c>
      <c r="L12" s="64"/>
    </row>
    <row r="13" spans="1:12" ht="37.799999999999997" x14ac:dyDescent="0.2">
      <c r="A13" s="22">
        <v>46084</v>
      </c>
      <c r="B13" s="22" t="s">
        <v>18</v>
      </c>
      <c r="C13" s="27" t="s">
        <v>132</v>
      </c>
      <c r="D13" s="27"/>
      <c r="E13" s="27" t="s">
        <v>62</v>
      </c>
      <c r="F13" s="27" t="s">
        <v>15</v>
      </c>
      <c r="G13" s="28" t="s">
        <v>249</v>
      </c>
      <c r="H13" s="29">
        <f t="shared" ref="H13:H155" si="0">J13-I13</f>
        <v>0.33333333333333331</v>
      </c>
      <c r="I13" s="30">
        <v>0.33333333333333331</v>
      </c>
      <c r="J13" s="30">
        <v>0.66666666666666663</v>
      </c>
    </row>
    <row r="14" spans="1:12" ht="37.799999999999997" x14ac:dyDescent="0.2">
      <c r="A14" s="22">
        <v>46085</v>
      </c>
      <c r="B14" s="22" t="s">
        <v>19</v>
      </c>
      <c r="C14" s="27" t="s">
        <v>132</v>
      </c>
      <c r="D14" s="27"/>
      <c r="E14" s="27" t="s">
        <v>62</v>
      </c>
      <c r="F14" s="27" t="s">
        <v>15</v>
      </c>
      <c r="G14" s="28" t="s">
        <v>250</v>
      </c>
      <c r="H14" s="29">
        <f t="shared" si="0"/>
        <v>4.1666666666666685E-2</v>
      </c>
      <c r="I14" s="30">
        <v>0.33333333333333331</v>
      </c>
      <c r="J14" s="30">
        <v>0.375</v>
      </c>
      <c r="L14" s="64"/>
    </row>
    <row r="15" spans="1:12" ht="37.799999999999997" x14ac:dyDescent="0.2">
      <c r="A15" s="22">
        <v>46085</v>
      </c>
      <c r="B15" s="22" t="s">
        <v>19</v>
      </c>
      <c r="C15" s="27" t="s">
        <v>132</v>
      </c>
      <c r="D15" s="27"/>
      <c r="E15" s="27" t="s">
        <v>33</v>
      </c>
      <c r="F15" s="27" t="s">
        <v>15</v>
      </c>
      <c r="G15" s="28" t="s">
        <v>251</v>
      </c>
      <c r="H15" s="29">
        <f t="shared" si="0"/>
        <v>0.125</v>
      </c>
      <c r="I15" s="30">
        <v>0.375</v>
      </c>
      <c r="J15" s="30">
        <v>0.5</v>
      </c>
      <c r="L15" s="64"/>
    </row>
    <row r="16" spans="1:12" ht="37.799999999999997" x14ac:dyDescent="0.2">
      <c r="A16" s="22">
        <v>46085</v>
      </c>
      <c r="B16" s="22" t="s">
        <v>19</v>
      </c>
      <c r="C16" s="27" t="s">
        <v>132</v>
      </c>
      <c r="D16" s="27"/>
      <c r="E16" s="27" t="s">
        <v>33</v>
      </c>
      <c r="F16" s="27" t="s">
        <v>15</v>
      </c>
      <c r="G16" s="28" t="s">
        <v>252</v>
      </c>
      <c r="H16" s="29">
        <f t="shared" si="0"/>
        <v>0.125</v>
      </c>
      <c r="I16" s="30">
        <v>0.54166666666666663</v>
      </c>
      <c r="J16" s="30">
        <v>0.66666666666666663</v>
      </c>
      <c r="L16" s="64"/>
    </row>
    <row r="17" spans="1:12" ht="25.2" x14ac:dyDescent="0.2">
      <c r="A17" s="22">
        <v>46085</v>
      </c>
      <c r="B17" s="22" t="s">
        <v>19</v>
      </c>
      <c r="C17" s="27" t="s">
        <v>132</v>
      </c>
      <c r="D17" s="27"/>
      <c r="E17" s="27" t="s">
        <v>33</v>
      </c>
      <c r="F17" s="27" t="s">
        <v>15</v>
      </c>
      <c r="G17" s="28" t="s">
        <v>267</v>
      </c>
      <c r="H17" s="29">
        <f t="shared" si="0"/>
        <v>4.1666666666666741E-2</v>
      </c>
      <c r="I17" s="30">
        <v>0.66666666666666663</v>
      </c>
      <c r="J17" s="30">
        <v>0.70833333333333337</v>
      </c>
    </row>
    <row r="18" spans="1:12" ht="25.2" x14ac:dyDescent="0.2">
      <c r="A18" s="22">
        <v>46086</v>
      </c>
      <c r="B18" s="22" t="s">
        <v>20</v>
      </c>
      <c r="C18" s="27" t="s">
        <v>132</v>
      </c>
      <c r="D18" s="27"/>
      <c r="E18" s="27" t="s">
        <v>62</v>
      </c>
      <c r="F18" s="27" t="s">
        <v>15</v>
      </c>
      <c r="G18" s="28" t="s">
        <v>268</v>
      </c>
      <c r="H18" s="29">
        <f t="shared" si="0"/>
        <v>4.1666666666666685E-2</v>
      </c>
      <c r="I18" s="30">
        <v>0.33333333333333331</v>
      </c>
      <c r="J18" s="30">
        <v>0.375</v>
      </c>
    </row>
    <row r="19" spans="1:12" ht="50.4" x14ac:dyDescent="0.2">
      <c r="A19" s="22">
        <v>46086</v>
      </c>
      <c r="B19" s="22" t="s">
        <v>20</v>
      </c>
      <c r="C19" s="27" t="s">
        <v>132</v>
      </c>
      <c r="D19" s="27"/>
      <c r="E19" s="27" t="s">
        <v>33</v>
      </c>
      <c r="F19" s="27" t="s">
        <v>15</v>
      </c>
      <c r="G19" s="28" t="s">
        <v>259</v>
      </c>
      <c r="H19" s="29">
        <f t="shared" si="0"/>
        <v>0.125</v>
      </c>
      <c r="I19" s="30">
        <v>0.375</v>
      </c>
      <c r="J19" s="30">
        <v>0.5</v>
      </c>
    </row>
    <row r="20" spans="1:12" ht="37.799999999999997" x14ac:dyDescent="0.2">
      <c r="A20" s="22">
        <v>46087</v>
      </c>
      <c r="B20" s="22" t="s">
        <v>20</v>
      </c>
      <c r="C20" s="27" t="s">
        <v>132</v>
      </c>
      <c r="D20" s="27"/>
      <c r="E20" s="27" t="s">
        <v>33</v>
      </c>
      <c r="F20" s="27" t="s">
        <v>15</v>
      </c>
      <c r="G20" s="28" t="s">
        <v>253</v>
      </c>
      <c r="H20" s="29">
        <f t="shared" si="0"/>
        <v>0.125</v>
      </c>
      <c r="I20" s="30">
        <v>0.54166666666666663</v>
      </c>
      <c r="J20" s="30">
        <v>0.66666666666666663</v>
      </c>
    </row>
    <row r="21" spans="1:12" ht="25.2" x14ac:dyDescent="0.2">
      <c r="A21" s="22">
        <v>46087</v>
      </c>
      <c r="B21" s="22" t="s">
        <v>20</v>
      </c>
      <c r="C21" s="27" t="s">
        <v>132</v>
      </c>
      <c r="D21" s="27"/>
      <c r="E21" s="27" t="s">
        <v>62</v>
      </c>
      <c r="F21" s="27" t="s">
        <v>15</v>
      </c>
      <c r="G21" s="28" t="s">
        <v>269</v>
      </c>
      <c r="H21" s="29">
        <f t="shared" si="0"/>
        <v>4.1666666666666741E-2</v>
      </c>
      <c r="I21" s="30">
        <v>0.66666666666666663</v>
      </c>
      <c r="J21" s="30">
        <v>0.70833333333333337</v>
      </c>
    </row>
    <row r="22" spans="1:12" ht="37.799999999999997" x14ac:dyDescent="0.2">
      <c r="A22" s="22">
        <v>46088</v>
      </c>
      <c r="B22" s="22" t="s">
        <v>11</v>
      </c>
      <c r="C22" s="27" t="s">
        <v>132</v>
      </c>
      <c r="D22" s="27"/>
      <c r="E22" s="27" t="s">
        <v>62</v>
      </c>
      <c r="F22" s="27" t="s">
        <v>15</v>
      </c>
      <c r="G22" s="28" t="s">
        <v>233</v>
      </c>
      <c r="H22" s="29">
        <f t="shared" si="0"/>
        <v>4.1666666666666685E-2</v>
      </c>
      <c r="I22" s="30">
        <v>0.33333333333333331</v>
      </c>
      <c r="J22" s="30">
        <v>0.375</v>
      </c>
    </row>
    <row r="23" spans="1:12" ht="37.799999999999997" x14ac:dyDescent="0.2">
      <c r="A23" s="22">
        <v>46088</v>
      </c>
      <c r="B23" s="22" t="s">
        <v>11</v>
      </c>
      <c r="C23" s="27" t="s">
        <v>132</v>
      </c>
      <c r="D23" s="27"/>
      <c r="E23" s="27" t="s">
        <v>33</v>
      </c>
      <c r="F23" s="27" t="s">
        <v>15</v>
      </c>
      <c r="G23" s="28" t="s">
        <v>254</v>
      </c>
      <c r="H23" s="29">
        <f t="shared" si="0"/>
        <v>0.29166666666666663</v>
      </c>
      <c r="I23" s="30">
        <v>0.375</v>
      </c>
      <c r="J23" s="30">
        <v>0.66666666666666663</v>
      </c>
    </row>
    <row r="24" spans="1:12" ht="25.2" x14ac:dyDescent="0.2">
      <c r="A24" s="22">
        <v>46088</v>
      </c>
      <c r="B24" s="22" t="s">
        <v>11</v>
      </c>
      <c r="C24" s="27" t="s">
        <v>132</v>
      </c>
      <c r="D24" s="27"/>
      <c r="E24" s="27" t="s">
        <v>62</v>
      </c>
      <c r="F24" s="27" t="s">
        <v>15</v>
      </c>
      <c r="G24" s="28" t="s">
        <v>267</v>
      </c>
      <c r="H24" s="29">
        <f t="shared" si="0"/>
        <v>4.1666666666666741E-2</v>
      </c>
      <c r="I24" s="30">
        <v>0.66666666666666663</v>
      </c>
      <c r="J24" s="30">
        <v>0.70833333333333337</v>
      </c>
      <c r="L24" s="64"/>
    </row>
    <row r="25" spans="1:12" x14ac:dyDescent="0.2">
      <c r="A25" s="31">
        <v>46088</v>
      </c>
      <c r="B25" s="31" t="s">
        <v>14</v>
      </c>
      <c r="C25" s="32" t="s">
        <v>132</v>
      </c>
      <c r="D25" s="32"/>
      <c r="E25" s="32" t="s">
        <v>33</v>
      </c>
      <c r="F25" s="32" t="s">
        <v>15</v>
      </c>
      <c r="G25" s="33" t="s">
        <v>231</v>
      </c>
      <c r="H25" s="34">
        <f t="shared" si="0"/>
        <v>4.1666666666666741E-2</v>
      </c>
      <c r="I25" s="35">
        <v>0.54166666666666663</v>
      </c>
      <c r="J25" s="35">
        <v>0.58333333333333337</v>
      </c>
    </row>
    <row r="26" spans="1:12" x14ac:dyDescent="0.2">
      <c r="A26" s="31">
        <v>46089</v>
      </c>
      <c r="B26" s="31" t="s">
        <v>16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2" ht="37.799999999999997" x14ac:dyDescent="0.2">
      <c r="A27" s="22">
        <v>46090</v>
      </c>
      <c r="B27" s="22" t="s">
        <v>17</v>
      </c>
      <c r="C27" s="27" t="s">
        <v>132</v>
      </c>
      <c r="D27" s="27"/>
      <c r="E27" s="27" t="s">
        <v>62</v>
      </c>
      <c r="F27" s="27" t="s">
        <v>15</v>
      </c>
      <c r="G27" s="28" t="s">
        <v>255</v>
      </c>
      <c r="H27" s="29">
        <f t="shared" si="0"/>
        <v>1.3888888888888895E-2</v>
      </c>
      <c r="I27" s="30">
        <v>0.33333333333333331</v>
      </c>
      <c r="J27" s="30">
        <v>0.34722222222222221</v>
      </c>
      <c r="L27" s="64"/>
    </row>
    <row r="28" spans="1:12" ht="25.2" x14ac:dyDescent="0.2">
      <c r="A28" s="22">
        <v>46090</v>
      </c>
      <c r="B28" s="22" t="s">
        <v>17</v>
      </c>
      <c r="C28" s="27" t="s">
        <v>132</v>
      </c>
      <c r="D28" s="27"/>
      <c r="E28" s="27" t="s">
        <v>33</v>
      </c>
      <c r="F28" s="27" t="s">
        <v>15</v>
      </c>
      <c r="G28" s="28" t="s">
        <v>240</v>
      </c>
      <c r="H28" s="29">
        <f t="shared" si="0"/>
        <v>2.777777777777779E-2</v>
      </c>
      <c r="I28" s="30">
        <v>0.34722222222222221</v>
      </c>
      <c r="J28" s="30">
        <v>0.375</v>
      </c>
      <c r="L28" s="64"/>
    </row>
    <row r="29" spans="1:12" ht="25.2" x14ac:dyDescent="0.2">
      <c r="A29" s="22">
        <v>46090</v>
      </c>
      <c r="B29" s="22" t="s">
        <v>17</v>
      </c>
      <c r="C29" s="27" t="s">
        <v>132</v>
      </c>
      <c r="D29" s="27"/>
      <c r="E29" s="27" t="s">
        <v>33</v>
      </c>
      <c r="F29" s="27" t="s">
        <v>15</v>
      </c>
      <c r="G29" s="28" t="s">
        <v>241</v>
      </c>
      <c r="H29" s="29">
        <f t="shared" si="0"/>
        <v>4.1666666666666685E-2</v>
      </c>
      <c r="I29" s="30">
        <v>0.375</v>
      </c>
      <c r="J29" s="30">
        <v>0.41666666666666669</v>
      </c>
    </row>
    <row r="30" spans="1:12" ht="25.2" x14ac:dyDescent="0.2">
      <c r="A30" s="22">
        <v>46090</v>
      </c>
      <c r="B30" s="22" t="s">
        <v>17</v>
      </c>
      <c r="C30" s="27" t="s">
        <v>132</v>
      </c>
      <c r="D30" s="27"/>
      <c r="E30" s="27" t="s">
        <v>62</v>
      </c>
      <c r="F30" s="27" t="s">
        <v>15</v>
      </c>
      <c r="G30" s="28" t="s">
        <v>234</v>
      </c>
      <c r="H30" s="29">
        <f t="shared" si="0"/>
        <v>4.166666666666663E-2</v>
      </c>
      <c r="I30" s="30">
        <v>0.41666666666666669</v>
      </c>
      <c r="J30" s="30">
        <v>0.45833333333333331</v>
      </c>
      <c r="L30" s="64"/>
    </row>
    <row r="31" spans="1:12" ht="25.2" x14ac:dyDescent="0.2">
      <c r="A31" s="22">
        <v>46090</v>
      </c>
      <c r="B31" s="22" t="s">
        <v>17</v>
      </c>
      <c r="C31" s="27" t="s">
        <v>132</v>
      </c>
      <c r="D31" s="27"/>
      <c r="E31" s="27" t="s">
        <v>62</v>
      </c>
      <c r="F31" s="27" t="s">
        <v>15</v>
      </c>
      <c r="G31" s="28" t="s">
        <v>242</v>
      </c>
      <c r="H31" s="29">
        <f t="shared" si="0"/>
        <v>4.1666666666666685E-2</v>
      </c>
      <c r="I31" s="30">
        <v>0.45833333333333331</v>
      </c>
      <c r="J31" s="30">
        <v>0.5</v>
      </c>
      <c r="L31" s="64"/>
    </row>
    <row r="32" spans="1:12" ht="25.2" x14ac:dyDescent="0.2">
      <c r="A32" s="22">
        <v>46090</v>
      </c>
      <c r="B32" s="22" t="s">
        <v>17</v>
      </c>
      <c r="C32" s="27" t="s">
        <v>132</v>
      </c>
      <c r="D32" s="27"/>
      <c r="E32" s="27" t="s">
        <v>69</v>
      </c>
      <c r="F32" s="27" t="s">
        <v>15</v>
      </c>
      <c r="G32" s="28" t="s">
        <v>263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2" ht="25.2" x14ac:dyDescent="0.2">
      <c r="A33" s="22">
        <v>46090</v>
      </c>
      <c r="B33" s="22" t="s">
        <v>17</v>
      </c>
      <c r="C33" s="27" t="s">
        <v>132</v>
      </c>
      <c r="D33" s="27"/>
      <c r="E33" s="27" t="s">
        <v>33</v>
      </c>
      <c r="F33" s="27" t="s">
        <v>15</v>
      </c>
      <c r="G33" s="28" t="s">
        <v>267</v>
      </c>
      <c r="H33" s="29">
        <f t="shared" si="0"/>
        <v>4.1666666666666741E-2</v>
      </c>
      <c r="I33" s="30">
        <v>0.66666666666666663</v>
      </c>
      <c r="J33" s="30">
        <v>0.70833333333333337</v>
      </c>
    </row>
    <row r="34" spans="1:12" ht="37.799999999999997" x14ac:dyDescent="0.2">
      <c r="A34" s="22">
        <v>46091</v>
      </c>
      <c r="B34" s="22" t="s">
        <v>18</v>
      </c>
      <c r="C34" s="27" t="s">
        <v>132</v>
      </c>
      <c r="D34" s="27"/>
      <c r="E34" s="27" t="s">
        <v>62</v>
      </c>
      <c r="F34" s="27" t="s">
        <v>15</v>
      </c>
      <c r="G34" s="28" t="s">
        <v>265</v>
      </c>
      <c r="H34" s="29">
        <f t="shared" si="0"/>
        <v>6.9444444444444753E-3</v>
      </c>
      <c r="I34" s="30">
        <v>0.33333333333333331</v>
      </c>
      <c r="J34" s="30">
        <v>0.34027777777777779</v>
      </c>
      <c r="L34" s="64"/>
    </row>
    <row r="35" spans="1:12" ht="37.799999999999997" x14ac:dyDescent="0.2">
      <c r="A35" s="22">
        <v>46091</v>
      </c>
      <c r="B35" s="22" t="s">
        <v>18</v>
      </c>
      <c r="C35" s="27" t="s">
        <v>132</v>
      </c>
      <c r="D35" s="27"/>
      <c r="E35" s="27" t="s">
        <v>33</v>
      </c>
      <c r="F35" s="27" t="s">
        <v>15</v>
      </c>
      <c r="G35" s="28" t="s">
        <v>264</v>
      </c>
      <c r="H35" s="29">
        <f t="shared" si="0"/>
        <v>0.11805555555555552</v>
      </c>
      <c r="I35" s="30">
        <v>0.34027777777777779</v>
      </c>
      <c r="J35" s="30">
        <v>0.45833333333333331</v>
      </c>
    </row>
    <row r="36" spans="1:12" ht="25.2" x14ac:dyDescent="0.2">
      <c r="A36" s="22">
        <v>46091</v>
      </c>
      <c r="B36" s="22" t="s">
        <v>18</v>
      </c>
      <c r="C36" s="27" t="s">
        <v>132</v>
      </c>
      <c r="D36" s="27"/>
      <c r="E36" s="27" t="s">
        <v>62</v>
      </c>
      <c r="F36" s="27" t="s">
        <v>15</v>
      </c>
      <c r="G36" s="28" t="s">
        <v>243</v>
      </c>
      <c r="H36" s="29">
        <f t="shared" si="0"/>
        <v>4.1666666666666685E-2</v>
      </c>
      <c r="I36" s="30">
        <v>0.45833333333333331</v>
      </c>
      <c r="J36" s="30">
        <v>0.5</v>
      </c>
      <c r="L36" s="64"/>
    </row>
    <row r="37" spans="1:12" ht="25.2" x14ac:dyDescent="0.2">
      <c r="A37" s="22">
        <v>46091</v>
      </c>
      <c r="B37" s="22" t="s">
        <v>18</v>
      </c>
      <c r="C37" s="27" t="s">
        <v>132</v>
      </c>
      <c r="D37" s="27"/>
      <c r="E37" s="27" t="s">
        <v>69</v>
      </c>
      <c r="F37" s="27" t="s">
        <v>15</v>
      </c>
      <c r="G37" s="28" t="s">
        <v>244</v>
      </c>
      <c r="H37" s="29">
        <f t="shared" si="0"/>
        <v>0.125</v>
      </c>
      <c r="I37" s="30">
        <v>0.54166666666666663</v>
      </c>
      <c r="J37" s="30">
        <v>0.66666666666666663</v>
      </c>
    </row>
    <row r="38" spans="1:12" ht="25.2" x14ac:dyDescent="0.2">
      <c r="A38" s="22">
        <v>46091</v>
      </c>
      <c r="B38" s="22" t="s">
        <v>18</v>
      </c>
      <c r="C38" s="27" t="s">
        <v>132</v>
      </c>
      <c r="D38" s="27"/>
      <c r="E38" s="27" t="s">
        <v>62</v>
      </c>
      <c r="F38" s="27" t="s">
        <v>15</v>
      </c>
      <c r="G38" s="28" t="s">
        <v>267</v>
      </c>
      <c r="H38" s="29">
        <f t="shared" si="0"/>
        <v>5.902777777777779E-2</v>
      </c>
      <c r="I38" s="30">
        <v>0.66666666666666663</v>
      </c>
      <c r="J38" s="30">
        <v>0.72569444444444442</v>
      </c>
      <c r="L38" s="64"/>
    </row>
    <row r="39" spans="1:12" ht="25.2" x14ac:dyDescent="0.2">
      <c r="A39" s="22">
        <v>46091</v>
      </c>
      <c r="B39" s="22" t="s">
        <v>18</v>
      </c>
      <c r="C39" s="27" t="s">
        <v>132</v>
      </c>
      <c r="D39" s="27"/>
      <c r="E39" s="27" t="s">
        <v>62</v>
      </c>
      <c r="F39" s="27" t="s">
        <v>15</v>
      </c>
      <c r="G39" s="28" t="s">
        <v>237</v>
      </c>
      <c r="H39" s="29">
        <f t="shared" si="0"/>
        <v>3.819444444444442E-2</v>
      </c>
      <c r="I39" s="30">
        <v>0.70833333333333337</v>
      </c>
      <c r="J39" s="30">
        <v>0.74652777777777779</v>
      </c>
    </row>
    <row r="40" spans="1:12" x14ac:dyDescent="0.2">
      <c r="A40" s="22">
        <v>46092</v>
      </c>
      <c r="B40" s="22" t="s">
        <v>19</v>
      </c>
      <c r="C40" s="27" t="s">
        <v>132</v>
      </c>
      <c r="D40" s="27"/>
      <c r="E40" s="27" t="s">
        <v>62</v>
      </c>
      <c r="F40" s="27" t="s">
        <v>15</v>
      </c>
      <c r="G40" s="28" t="s">
        <v>230</v>
      </c>
      <c r="H40" s="29">
        <f t="shared" si="0"/>
        <v>6.9444444444444753E-3</v>
      </c>
      <c r="I40" s="30">
        <v>0.33333333333333331</v>
      </c>
      <c r="J40" s="30">
        <v>0.34027777777777779</v>
      </c>
    </row>
    <row r="41" spans="1:12" ht="25.2" x14ac:dyDescent="0.2">
      <c r="A41" s="22">
        <v>46092</v>
      </c>
      <c r="B41" s="22" t="s">
        <v>19</v>
      </c>
      <c r="C41" s="27" t="s">
        <v>132</v>
      </c>
      <c r="D41" s="27"/>
      <c r="E41" s="27" t="s">
        <v>33</v>
      </c>
      <c r="F41" s="27" t="s">
        <v>15</v>
      </c>
      <c r="G41" s="28" t="s">
        <v>235</v>
      </c>
      <c r="H41" s="29">
        <f t="shared" si="0"/>
        <v>0.11805555555555552</v>
      </c>
      <c r="I41" s="30">
        <v>0.34027777777777779</v>
      </c>
      <c r="J41" s="30">
        <v>0.45833333333333331</v>
      </c>
      <c r="L41" s="64"/>
    </row>
    <row r="42" spans="1:12" x14ac:dyDescent="0.2">
      <c r="A42" s="22">
        <v>46092</v>
      </c>
      <c r="B42" s="22" t="s">
        <v>19</v>
      </c>
      <c r="C42" s="27" t="s">
        <v>132</v>
      </c>
      <c r="D42" s="27"/>
      <c r="E42" s="27" t="s">
        <v>62</v>
      </c>
      <c r="F42" s="27" t="s">
        <v>15</v>
      </c>
      <c r="G42" s="28" t="s">
        <v>230</v>
      </c>
      <c r="H42" s="29">
        <f t="shared" si="0"/>
        <v>4.1666666666666685E-2</v>
      </c>
      <c r="I42" s="30">
        <v>0.45833333333333331</v>
      </c>
      <c r="J42" s="30">
        <v>0.5</v>
      </c>
    </row>
    <row r="43" spans="1:12" ht="25.2" x14ac:dyDescent="0.2">
      <c r="A43" s="22">
        <v>46092</v>
      </c>
      <c r="B43" s="22" t="s">
        <v>19</v>
      </c>
      <c r="C43" s="27" t="s">
        <v>132</v>
      </c>
      <c r="D43" s="27"/>
      <c r="E43" s="27" t="s">
        <v>33</v>
      </c>
      <c r="F43" s="27" t="s">
        <v>15</v>
      </c>
      <c r="G43" s="28" t="s">
        <v>236</v>
      </c>
      <c r="H43" s="29">
        <f t="shared" si="0"/>
        <v>8.333333333333337E-2</v>
      </c>
      <c r="I43" s="30">
        <v>0.54166666666666663</v>
      </c>
      <c r="J43" s="30">
        <v>0.625</v>
      </c>
    </row>
    <row r="44" spans="1:12" ht="25.2" x14ac:dyDescent="0.2">
      <c r="A44" s="22">
        <v>46092</v>
      </c>
      <c r="B44" s="22" t="s">
        <v>19</v>
      </c>
      <c r="C44" s="27" t="s">
        <v>132</v>
      </c>
      <c r="D44" s="27"/>
      <c r="E44" s="27" t="s">
        <v>69</v>
      </c>
      <c r="F44" s="27" t="s">
        <v>15</v>
      </c>
      <c r="G44" s="28" t="s">
        <v>235</v>
      </c>
      <c r="H44" s="29">
        <f t="shared" si="0"/>
        <v>4.166666666666663E-2</v>
      </c>
      <c r="I44" s="30">
        <v>0.625</v>
      </c>
      <c r="J44" s="30">
        <v>0.66666666666666663</v>
      </c>
      <c r="L44" s="64"/>
    </row>
    <row r="45" spans="1:12" x14ac:dyDescent="0.2">
      <c r="A45" s="22">
        <v>46092</v>
      </c>
      <c r="B45" s="22" t="s">
        <v>19</v>
      </c>
      <c r="C45" s="27" t="s">
        <v>132</v>
      </c>
      <c r="D45" s="27"/>
      <c r="E45" s="27" t="s">
        <v>62</v>
      </c>
      <c r="F45" s="27" t="s">
        <v>15</v>
      </c>
      <c r="G45" s="28" t="s">
        <v>229</v>
      </c>
      <c r="H45" s="29">
        <f t="shared" si="0"/>
        <v>1.2500000000000067E-2</v>
      </c>
      <c r="I45" s="30">
        <v>0.66666666666666663</v>
      </c>
      <c r="J45" s="30">
        <v>0.6791666666666667</v>
      </c>
    </row>
    <row r="46" spans="1:12" ht="25.2" x14ac:dyDescent="0.2">
      <c r="A46" s="22">
        <v>46092</v>
      </c>
      <c r="B46" s="22" t="s">
        <v>19</v>
      </c>
      <c r="C46" s="27" t="s">
        <v>132</v>
      </c>
      <c r="D46" s="27"/>
      <c r="E46" s="27" t="s">
        <v>33</v>
      </c>
      <c r="F46" s="27" t="s">
        <v>15</v>
      </c>
      <c r="G46" s="28" t="s">
        <v>266</v>
      </c>
      <c r="H46" s="29">
        <f t="shared" si="0"/>
        <v>3.819444444444442E-2</v>
      </c>
      <c r="I46" s="30">
        <v>0.6791666666666667</v>
      </c>
      <c r="J46" s="30">
        <v>0.71736111111111112</v>
      </c>
    </row>
    <row r="47" spans="1:12" ht="25.2" x14ac:dyDescent="0.2">
      <c r="A47" s="22">
        <v>46093</v>
      </c>
      <c r="B47" s="22" t="s">
        <v>20</v>
      </c>
      <c r="C47" s="27" t="s">
        <v>132</v>
      </c>
      <c r="D47" s="27"/>
      <c r="E47" s="27" t="s">
        <v>62</v>
      </c>
      <c r="F47" s="27" t="s">
        <v>15</v>
      </c>
      <c r="G47" s="28" t="s">
        <v>268</v>
      </c>
      <c r="H47" s="29">
        <f t="shared" si="0"/>
        <v>6.9444444444444753E-3</v>
      </c>
      <c r="I47" s="30">
        <v>0.33333333333333331</v>
      </c>
      <c r="J47" s="30">
        <v>0.34027777777777779</v>
      </c>
    </row>
    <row r="48" spans="1:12" ht="25.2" x14ac:dyDescent="0.2">
      <c r="A48" s="22">
        <v>46093</v>
      </c>
      <c r="B48" s="22" t="s">
        <v>20</v>
      </c>
      <c r="C48" s="27" t="s">
        <v>132</v>
      </c>
      <c r="D48" s="27"/>
      <c r="E48" s="27" t="s">
        <v>33</v>
      </c>
      <c r="F48" s="27" t="s">
        <v>15</v>
      </c>
      <c r="G48" s="28" t="s">
        <v>260</v>
      </c>
      <c r="H48" s="29">
        <f t="shared" si="0"/>
        <v>0.11805555555555552</v>
      </c>
      <c r="I48" s="30">
        <v>0.34027777777777779</v>
      </c>
      <c r="J48" s="30">
        <v>0.45833333333333331</v>
      </c>
      <c r="L48" s="64"/>
    </row>
    <row r="49" spans="1:12" ht="25.2" x14ac:dyDescent="0.2">
      <c r="A49" s="22">
        <v>46093</v>
      </c>
      <c r="B49" s="22" t="s">
        <v>20</v>
      </c>
      <c r="C49" s="27" t="s">
        <v>132</v>
      </c>
      <c r="D49" s="27"/>
      <c r="E49" s="27" t="s">
        <v>62</v>
      </c>
      <c r="F49" s="27" t="s">
        <v>15</v>
      </c>
      <c r="G49" s="28" t="s">
        <v>268</v>
      </c>
      <c r="H49" s="29">
        <f t="shared" si="0"/>
        <v>4.1666666666666685E-2</v>
      </c>
      <c r="I49" s="30">
        <v>0.45833333333333331</v>
      </c>
      <c r="J49" s="30">
        <v>0.5</v>
      </c>
    </row>
    <row r="50" spans="1:12" ht="25.2" x14ac:dyDescent="0.2">
      <c r="A50" s="22">
        <v>46093</v>
      </c>
      <c r="B50" s="22" t="s">
        <v>20</v>
      </c>
      <c r="C50" s="27" t="s">
        <v>132</v>
      </c>
      <c r="D50" s="27"/>
      <c r="E50" s="27" t="s">
        <v>33</v>
      </c>
      <c r="F50" s="27" t="s">
        <v>15</v>
      </c>
      <c r="G50" s="28" t="s">
        <v>262</v>
      </c>
      <c r="H50" s="29">
        <f t="shared" si="0"/>
        <v>4.1666666666666741E-2</v>
      </c>
      <c r="I50" s="30">
        <v>0.54166666666666663</v>
      </c>
      <c r="J50" s="30">
        <v>0.58333333333333337</v>
      </c>
      <c r="L50" s="64"/>
    </row>
    <row r="51" spans="1:12" ht="25.2" x14ac:dyDescent="0.2">
      <c r="A51" s="22">
        <v>46093</v>
      </c>
      <c r="B51" s="22" t="s">
        <v>20</v>
      </c>
      <c r="C51" s="27" t="s">
        <v>132</v>
      </c>
      <c r="D51" s="27"/>
      <c r="E51" s="27" t="s">
        <v>33</v>
      </c>
      <c r="F51" s="27" t="s">
        <v>15</v>
      </c>
      <c r="G51" s="28" t="s">
        <v>238</v>
      </c>
      <c r="H51" s="29">
        <f t="shared" si="0"/>
        <v>2.0833333333333259E-2</v>
      </c>
      <c r="I51" s="30">
        <v>0.58333333333333337</v>
      </c>
      <c r="J51" s="30">
        <v>0.60416666666666663</v>
      </c>
    </row>
    <row r="52" spans="1:12" ht="37.799999999999997" x14ac:dyDescent="0.2">
      <c r="A52" s="22">
        <v>46093</v>
      </c>
      <c r="B52" s="22" t="s">
        <v>20</v>
      </c>
      <c r="C52" s="27" t="s">
        <v>132</v>
      </c>
      <c r="D52" s="27"/>
      <c r="E52" s="27" t="s">
        <v>69</v>
      </c>
      <c r="F52" s="27" t="s">
        <v>15</v>
      </c>
      <c r="G52" s="28" t="s">
        <v>261</v>
      </c>
      <c r="H52" s="29">
        <f t="shared" si="0"/>
        <v>8.3333333333333259E-2</v>
      </c>
      <c r="I52" s="30">
        <v>0.58333333333333337</v>
      </c>
      <c r="J52" s="30">
        <v>0.66666666666666663</v>
      </c>
      <c r="L52" s="64"/>
    </row>
    <row r="53" spans="1:12" ht="25.2" x14ac:dyDescent="0.2">
      <c r="A53" s="22">
        <v>46093</v>
      </c>
      <c r="B53" s="22" t="s">
        <v>20</v>
      </c>
      <c r="C53" s="27" t="s">
        <v>132</v>
      </c>
      <c r="D53" s="27"/>
      <c r="E53" s="27" t="s">
        <v>62</v>
      </c>
      <c r="F53" s="27" t="s">
        <v>15</v>
      </c>
      <c r="G53" s="28" t="s">
        <v>267</v>
      </c>
      <c r="H53" s="29">
        <f t="shared" si="0"/>
        <v>4.1666666666666741E-2</v>
      </c>
      <c r="I53" s="30">
        <v>0.66666666666666663</v>
      </c>
      <c r="J53" s="30">
        <v>0.70833333333333337</v>
      </c>
      <c r="L53" s="64"/>
    </row>
    <row r="54" spans="1:12" ht="25.2" x14ac:dyDescent="0.2">
      <c r="A54" s="22">
        <v>46094</v>
      </c>
      <c r="B54" s="22" t="s">
        <v>11</v>
      </c>
      <c r="C54" s="27" t="s">
        <v>132</v>
      </c>
      <c r="D54" s="27"/>
      <c r="E54" s="27" t="s">
        <v>62</v>
      </c>
      <c r="F54" s="27" t="s">
        <v>15</v>
      </c>
      <c r="G54" s="28" t="s">
        <v>268</v>
      </c>
      <c r="H54" s="29">
        <f t="shared" si="0"/>
        <v>2.083333333333337E-2</v>
      </c>
      <c r="I54" s="30">
        <v>0.33333333333333331</v>
      </c>
      <c r="J54" s="30">
        <v>0.35416666666666669</v>
      </c>
    </row>
    <row r="55" spans="1:12" x14ac:dyDescent="0.2">
      <c r="A55" s="22">
        <v>46094</v>
      </c>
      <c r="B55" s="22" t="s">
        <v>11</v>
      </c>
      <c r="C55" s="27" t="s">
        <v>132</v>
      </c>
      <c r="D55" s="27"/>
      <c r="E55" s="27" t="s">
        <v>33</v>
      </c>
      <c r="F55" s="27" t="s">
        <v>15</v>
      </c>
      <c r="G55" s="28" t="s">
        <v>257</v>
      </c>
      <c r="H55" s="29">
        <f t="shared" si="0"/>
        <v>4.166666666666663E-2</v>
      </c>
      <c r="I55" s="30">
        <v>0.35416666666666669</v>
      </c>
      <c r="J55" s="30">
        <v>0.39583333333333331</v>
      </c>
      <c r="L55" s="64"/>
    </row>
    <row r="56" spans="1:12" x14ac:dyDescent="0.2">
      <c r="A56" s="22">
        <v>46094</v>
      </c>
      <c r="B56" s="22" t="s">
        <v>11</v>
      </c>
      <c r="C56" s="27" t="s">
        <v>132</v>
      </c>
      <c r="D56" s="27"/>
      <c r="E56" s="27" t="s">
        <v>62</v>
      </c>
      <c r="F56" s="27" t="s">
        <v>15</v>
      </c>
      <c r="G56" s="28" t="s">
        <v>239</v>
      </c>
      <c r="H56" s="29">
        <f t="shared" si="0"/>
        <v>2.083333333333337E-2</v>
      </c>
      <c r="I56" s="30">
        <v>0.39583333333333331</v>
      </c>
      <c r="J56" s="30">
        <v>0.41666666666666669</v>
      </c>
    </row>
    <row r="57" spans="1:12" ht="25.2" x14ac:dyDescent="0.2">
      <c r="A57" s="22">
        <v>46094</v>
      </c>
      <c r="B57" s="22" t="s">
        <v>11</v>
      </c>
      <c r="C57" s="27" t="s">
        <v>132</v>
      </c>
      <c r="D57" s="27"/>
      <c r="E57" s="27" t="s">
        <v>33</v>
      </c>
      <c r="F57" s="27" t="s">
        <v>15</v>
      </c>
      <c r="G57" s="28" t="s">
        <v>256</v>
      </c>
      <c r="H57" s="29">
        <f t="shared" si="0"/>
        <v>4.166666666666663E-2</v>
      </c>
      <c r="I57" s="30">
        <v>0.41666666666666669</v>
      </c>
      <c r="J57" s="30">
        <v>0.45833333333333331</v>
      </c>
      <c r="L57" s="64"/>
    </row>
    <row r="58" spans="1:12" ht="25.2" x14ac:dyDescent="0.2">
      <c r="A58" s="22">
        <v>46094</v>
      </c>
      <c r="B58" s="22" t="s">
        <v>11</v>
      </c>
      <c r="C58" s="27" t="s">
        <v>132</v>
      </c>
      <c r="D58" s="27"/>
      <c r="E58" s="27" t="s">
        <v>62</v>
      </c>
      <c r="F58" s="27" t="s">
        <v>15</v>
      </c>
      <c r="G58" s="28" t="s">
        <v>271</v>
      </c>
      <c r="H58" s="29">
        <f t="shared" si="0"/>
        <v>4.1666666666666685E-2</v>
      </c>
      <c r="I58" s="30">
        <v>0.45833333333333331</v>
      </c>
      <c r="J58" s="30">
        <v>0.5</v>
      </c>
      <c r="L58" s="64"/>
    </row>
    <row r="59" spans="1:12" ht="25.2" x14ac:dyDescent="0.2">
      <c r="A59" s="22">
        <v>46094</v>
      </c>
      <c r="B59" s="22" t="s">
        <v>11</v>
      </c>
      <c r="C59" s="27" t="s">
        <v>132</v>
      </c>
      <c r="D59" s="27"/>
      <c r="E59" s="27" t="s">
        <v>33</v>
      </c>
      <c r="F59" s="27" t="s">
        <v>15</v>
      </c>
      <c r="G59" s="28" t="s">
        <v>258</v>
      </c>
      <c r="H59" s="29">
        <f t="shared" si="0"/>
        <v>0.125</v>
      </c>
      <c r="I59" s="30">
        <v>0.54166666666666663</v>
      </c>
      <c r="J59" s="30">
        <v>0.66666666666666663</v>
      </c>
      <c r="L59" s="64"/>
    </row>
    <row r="60" spans="1:12" ht="25.2" x14ac:dyDescent="0.2">
      <c r="A60" s="22">
        <v>46094</v>
      </c>
      <c r="B60" s="22" t="s">
        <v>11</v>
      </c>
      <c r="C60" s="27" t="s">
        <v>132</v>
      </c>
      <c r="D60" s="27"/>
      <c r="E60" s="27" t="s">
        <v>62</v>
      </c>
      <c r="F60" s="27" t="s">
        <v>15</v>
      </c>
      <c r="G60" s="28" t="s">
        <v>270</v>
      </c>
      <c r="H60" s="29">
        <f t="shared" si="0"/>
        <v>2.2916666666666696E-2</v>
      </c>
      <c r="I60" s="30">
        <v>0.66666666666666663</v>
      </c>
      <c r="J60" s="30">
        <v>0.68958333333333333</v>
      </c>
    </row>
    <row r="61" spans="1:12" x14ac:dyDescent="0.2">
      <c r="A61" s="31">
        <v>46095</v>
      </c>
      <c r="B61" s="31" t="s">
        <v>14</v>
      </c>
      <c r="C61" s="32"/>
      <c r="D61" s="32"/>
      <c r="E61" s="32"/>
      <c r="F61" s="32"/>
      <c r="G61" s="33"/>
      <c r="H61" s="34">
        <f t="shared" si="0"/>
        <v>0</v>
      </c>
      <c r="I61" s="35"/>
      <c r="J61" s="35"/>
    </row>
    <row r="62" spans="1:12" x14ac:dyDescent="0.2">
      <c r="A62" s="31">
        <v>46096</v>
      </c>
      <c r="B62" s="31" t="s">
        <v>16</v>
      </c>
      <c r="C62" s="32"/>
      <c r="D62" s="32"/>
      <c r="E62" s="32"/>
      <c r="F62" s="32"/>
      <c r="G62" s="33"/>
      <c r="H62" s="34">
        <f t="shared" si="0"/>
        <v>0</v>
      </c>
      <c r="I62" s="35"/>
      <c r="J62" s="35"/>
    </row>
    <row r="63" spans="1:12" ht="37.799999999999997" x14ac:dyDescent="0.2">
      <c r="A63" s="22">
        <v>46097</v>
      </c>
      <c r="B63" s="22" t="s">
        <v>17</v>
      </c>
      <c r="C63" s="27" t="s">
        <v>132</v>
      </c>
      <c r="D63" s="27"/>
      <c r="E63" s="27" t="s">
        <v>62</v>
      </c>
      <c r="F63" s="27" t="s">
        <v>15</v>
      </c>
      <c r="G63" s="28" t="s">
        <v>274</v>
      </c>
      <c r="H63" s="29">
        <f t="shared" si="0"/>
        <v>4.1666666666666685E-2</v>
      </c>
      <c r="I63" s="30">
        <v>0.33333333333333331</v>
      </c>
      <c r="J63" s="30">
        <v>0.375</v>
      </c>
    </row>
    <row r="64" spans="1:12" ht="25.2" x14ac:dyDescent="0.2">
      <c r="A64" s="22">
        <v>46097</v>
      </c>
      <c r="B64" s="22" t="s">
        <v>17</v>
      </c>
      <c r="C64" s="27" t="s">
        <v>132</v>
      </c>
      <c r="D64" s="27"/>
      <c r="E64" s="27" t="s">
        <v>33</v>
      </c>
      <c r="F64" s="27" t="s">
        <v>15</v>
      </c>
      <c r="G64" s="28" t="s">
        <v>272</v>
      </c>
      <c r="H64" s="29">
        <f t="shared" si="0"/>
        <v>4.1666666666666685E-2</v>
      </c>
      <c r="I64" s="30">
        <v>0.375</v>
      </c>
      <c r="J64" s="30">
        <v>0.41666666666666669</v>
      </c>
    </row>
    <row r="65" spans="1:12" x14ac:dyDescent="0.2">
      <c r="A65" s="22">
        <v>46097</v>
      </c>
      <c r="B65" s="22" t="s">
        <v>17</v>
      </c>
      <c r="C65" s="27" t="s">
        <v>132</v>
      </c>
      <c r="D65" s="27"/>
      <c r="E65" s="27" t="s">
        <v>33</v>
      </c>
      <c r="F65" s="27" t="s">
        <v>15</v>
      </c>
      <c r="G65" s="28" t="s">
        <v>273</v>
      </c>
      <c r="H65" s="29">
        <f t="shared" si="0"/>
        <v>1.3888888888888895E-2</v>
      </c>
      <c r="I65" s="30">
        <v>0.41666666666666669</v>
      </c>
      <c r="J65" s="30">
        <v>0.43055555555555558</v>
      </c>
    </row>
    <row r="66" spans="1:12" x14ac:dyDescent="0.2">
      <c r="A66" s="22">
        <v>46097</v>
      </c>
      <c r="B66" s="22" t="s">
        <v>17</v>
      </c>
      <c r="C66" s="27" t="s">
        <v>132</v>
      </c>
      <c r="D66" s="27"/>
      <c r="E66" s="27" t="s">
        <v>62</v>
      </c>
      <c r="F66" s="27" t="s">
        <v>15</v>
      </c>
      <c r="G66" s="28" t="s">
        <v>275</v>
      </c>
      <c r="H66" s="29">
        <f t="shared" si="0"/>
        <v>2.4305555555555525E-2</v>
      </c>
      <c r="I66" s="30">
        <v>0.43055555555555558</v>
      </c>
      <c r="J66" s="30">
        <v>0.4548611111111111</v>
      </c>
    </row>
    <row r="67" spans="1:12" ht="25.2" x14ac:dyDescent="0.2">
      <c r="A67" s="22">
        <v>46097</v>
      </c>
      <c r="B67" s="22" t="s">
        <v>17</v>
      </c>
      <c r="C67" s="27" t="s">
        <v>132</v>
      </c>
      <c r="D67" s="27"/>
      <c r="E67" s="27" t="s">
        <v>62</v>
      </c>
      <c r="F67" s="27" t="s">
        <v>15</v>
      </c>
      <c r="G67" s="28" t="s">
        <v>300</v>
      </c>
      <c r="H67" s="29">
        <f t="shared" si="0"/>
        <v>4.1666666666666685E-2</v>
      </c>
      <c r="I67" s="30">
        <v>0.45833333333333331</v>
      </c>
      <c r="J67" s="30">
        <v>0.5</v>
      </c>
    </row>
    <row r="68" spans="1:12" ht="25.2" x14ac:dyDescent="0.2">
      <c r="A68" s="22">
        <v>46097</v>
      </c>
      <c r="B68" s="22" t="s">
        <v>17</v>
      </c>
      <c r="C68" s="27" t="s">
        <v>132</v>
      </c>
      <c r="D68" s="27"/>
      <c r="E68" s="27" t="s">
        <v>33</v>
      </c>
      <c r="F68" s="27" t="s">
        <v>15</v>
      </c>
      <c r="G68" s="28" t="s">
        <v>276</v>
      </c>
      <c r="H68" s="29">
        <f t="shared" si="0"/>
        <v>4.1666666666666741E-2</v>
      </c>
      <c r="I68" s="30">
        <v>0.54166666666666663</v>
      </c>
      <c r="J68" s="30">
        <v>0.58333333333333337</v>
      </c>
    </row>
    <row r="69" spans="1:12" ht="25.2" x14ac:dyDescent="0.2">
      <c r="A69" s="22">
        <v>46097</v>
      </c>
      <c r="B69" s="22" t="s">
        <v>17</v>
      </c>
      <c r="C69" s="27" t="s">
        <v>132</v>
      </c>
      <c r="D69" s="27"/>
      <c r="E69" s="27" t="s">
        <v>62</v>
      </c>
      <c r="F69" s="27" t="s">
        <v>15</v>
      </c>
      <c r="G69" s="28" t="s">
        <v>277</v>
      </c>
      <c r="H69" s="29">
        <f t="shared" si="0"/>
        <v>1.6666666666666607E-2</v>
      </c>
      <c r="I69" s="30">
        <v>0.58333333333333337</v>
      </c>
      <c r="J69" s="30">
        <v>0.6</v>
      </c>
      <c r="L69" s="64"/>
    </row>
    <row r="70" spans="1:12" ht="25.2" x14ac:dyDescent="0.2">
      <c r="A70" s="22">
        <v>46097</v>
      </c>
      <c r="B70" s="22" t="s">
        <v>17</v>
      </c>
      <c r="C70" s="27" t="s">
        <v>132</v>
      </c>
      <c r="D70" s="27"/>
      <c r="E70" s="27" t="s">
        <v>33</v>
      </c>
      <c r="F70" s="27" t="s">
        <v>15</v>
      </c>
      <c r="G70" s="28" t="s">
        <v>278</v>
      </c>
      <c r="H70" s="29">
        <f t="shared" si="0"/>
        <v>6.25E-2</v>
      </c>
      <c r="I70" s="30">
        <v>0.60416666666666663</v>
      </c>
      <c r="J70" s="30">
        <v>0.66666666666666663</v>
      </c>
    </row>
    <row r="71" spans="1:12" ht="25.2" x14ac:dyDescent="0.2">
      <c r="A71" s="22">
        <v>46097</v>
      </c>
      <c r="B71" s="22" t="s">
        <v>17</v>
      </c>
      <c r="C71" s="27" t="s">
        <v>132</v>
      </c>
      <c r="D71" s="27"/>
      <c r="E71" s="27" t="s">
        <v>62</v>
      </c>
      <c r="F71" s="27" t="s">
        <v>15</v>
      </c>
      <c r="G71" s="28" t="s">
        <v>279</v>
      </c>
      <c r="H71" s="29">
        <f t="shared" si="0"/>
        <v>2.3611111111111138E-2</v>
      </c>
      <c r="I71" s="30">
        <v>0.66666666666666663</v>
      </c>
      <c r="J71" s="30">
        <v>0.69027777777777777</v>
      </c>
    </row>
    <row r="72" spans="1:12" ht="25.2" x14ac:dyDescent="0.2">
      <c r="A72" s="22">
        <v>46097</v>
      </c>
      <c r="B72" s="22" t="s">
        <v>17</v>
      </c>
      <c r="C72" s="27" t="s">
        <v>132</v>
      </c>
      <c r="D72" s="27"/>
      <c r="E72" s="27" t="s">
        <v>33</v>
      </c>
      <c r="F72" s="27" t="s">
        <v>15</v>
      </c>
      <c r="G72" s="28" t="s">
        <v>262</v>
      </c>
      <c r="H72" s="29">
        <f t="shared" si="0"/>
        <v>2.6388888888888906E-2</v>
      </c>
      <c r="I72" s="30">
        <v>0.69027777777777777</v>
      </c>
      <c r="J72" s="30">
        <v>0.71666666666666667</v>
      </c>
    </row>
    <row r="73" spans="1:12" ht="25.2" x14ac:dyDescent="0.2">
      <c r="A73" s="22">
        <v>46098</v>
      </c>
      <c r="B73" s="22" t="s">
        <v>18</v>
      </c>
      <c r="C73" s="27" t="s">
        <v>132</v>
      </c>
      <c r="D73" s="27"/>
      <c r="E73" s="27" t="s">
        <v>62</v>
      </c>
      <c r="F73" s="27" t="s">
        <v>15</v>
      </c>
      <c r="G73" s="28" t="s">
        <v>268</v>
      </c>
      <c r="H73" s="29">
        <f t="shared" si="0"/>
        <v>3.7500000000000033E-2</v>
      </c>
      <c r="I73" s="30">
        <v>0.33333333333333331</v>
      </c>
      <c r="J73" s="30">
        <v>0.37083333333333335</v>
      </c>
    </row>
    <row r="74" spans="1:12" ht="50.4" x14ac:dyDescent="0.2">
      <c r="A74" s="22">
        <v>46098</v>
      </c>
      <c r="B74" s="22" t="s">
        <v>18</v>
      </c>
      <c r="C74" s="27" t="s">
        <v>132</v>
      </c>
      <c r="D74" s="27"/>
      <c r="E74" s="27" t="s">
        <v>33</v>
      </c>
      <c r="F74" s="27" t="s">
        <v>15</v>
      </c>
      <c r="G74" s="28" t="s">
        <v>280</v>
      </c>
      <c r="H74" s="29">
        <f t="shared" si="0"/>
        <v>8.3333333333333315E-2</v>
      </c>
      <c r="I74" s="30">
        <v>0.375</v>
      </c>
      <c r="J74" s="30">
        <v>0.45833333333333331</v>
      </c>
      <c r="L74" s="64"/>
    </row>
    <row r="75" spans="1:12" ht="25.2" x14ac:dyDescent="0.2">
      <c r="A75" s="22">
        <v>46098</v>
      </c>
      <c r="B75" s="22" t="s">
        <v>18</v>
      </c>
      <c r="C75" s="27" t="s">
        <v>132</v>
      </c>
      <c r="D75" s="27"/>
      <c r="E75" s="27" t="s">
        <v>62</v>
      </c>
      <c r="F75" s="27" t="s">
        <v>15</v>
      </c>
      <c r="G75" s="28" t="s">
        <v>268</v>
      </c>
      <c r="H75" s="29">
        <f t="shared" si="0"/>
        <v>4.1666666666666685E-2</v>
      </c>
      <c r="I75" s="30">
        <v>0.45833333333333331</v>
      </c>
      <c r="J75" s="30">
        <v>0.5</v>
      </c>
    </row>
    <row r="76" spans="1:12" ht="25.2" x14ac:dyDescent="0.2">
      <c r="A76" s="22">
        <v>46098</v>
      </c>
      <c r="B76" s="22" t="s">
        <v>18</v>
      </c>
      <c r="C76" s="27" t="s">
        <v>132</v>
      </c>
      <c r="D76" s="27"/>
      <c r="E76" s="27" t="s">
        <v>33</v>
      </c>
      <c r="F76" s="27" t="s">
        <v>15</v>
      </c>
      <c r="G76" s="28" t="s">
        <v>281</v>
      </c>
      <c r="H76" s="29">
        <f t="shared" si="0"/>
        <v>0.11111111111111116</v>
      </c>
      <c r="I76" s="30">
        <v>0.54166666666666663</v>
      </c>
      <c r="J76" s="30">
        <v>0.65277777777777779</v>
      </c>
      <c r="L76" s="64"/>
    </row>
    <row r="77" spans="1:12" ht="37.799999999999997" x14ac:dyDescent="0.2">
      <c r="A77" s="22">
        <v>46098</v>
      </c>
      <c r="B77" s="22" t="s">
        <v>18</v>
      </c>
      <c r="C77" s="27" t="s">
        <v>132</v>
      </c>
      <c r="D77" s="27"/>
      <c r="E77" s="27" t="s">
        <v>62</v>
      </c>
      <c r="F77" s="27" t="s">
        <v>15</v>
      </c>
      <c r="G77" s="28" t="s">
        <v>282</v>
      </c>
      <c r="H77" s="29">
        <f t="shared" si="0"/>
        <v>8.9583333333333348E-2</v>
      </c>
      <c r="I77" s="30">
        <v>0.65277777777777779</v>
      </c>
      <c r="J77" s="30">
        <v>0.74236111111111114</v>
      </c>
      <c r="L77" s="64"/>
    </row>
    <row r="78" spans="1:12" ht="25.2" x14ac:dyDescent="0.2">
      <c r="A78" s="22">
        <v>46099</v>
      </c>
      <c r="B78" s="22" t="s">
        <v>19</v>
      </c>
      <c r="C78" s="27" t="s">
        <v>132</v>
      </c>
      <c r="D78" s="27"/>
      <c r="E78" s="27" t="s">
        <v>62</v>
      </c>
      <c r="F78" s="27" t="s">
        <v>15</v>
      </c>
      <c r="G78" s="28" t="s">
        <v>283</v>
      </c>
      <c r="H78" s="29">
        <f t="shared" si="0"/>
        <v>2.083333333333337E-2</v>
      </c>
      <c r="I78" s="30">
        <v>0.33333333333333331</v>
      </c>
      <c r="J78" s="30">
        <v>0.35416666666666669</v>
      </c>
    </row>
    <row r="79" spans="1:12" ht="37.799999999999997" x14ac:dyDescent="0.2">
      <c r="A79" s="22">
        <v>46099</v>
      </c>
      <c r="B79" s="22" t="s">
        <v>19</v>
      </c>
      <c r="C79" s="27" t="s">
        <v>132</v>
      </c>
      <c r="D79" s="27"/>
      <c r="E79" s="27" t="s">
        <v>33</v>
      </c>
      <c r="F79" s="27" t="s">
        <v>15</v>
      </c>
      <c r="G79" s="28" t="s">
        <v>284</v>
      </c>
      <c r="H79" s="29">
        <f t="shared" si="0"/>
        <v>0.10416666666666663</v>
      </c>
      <c r="I79" s="30">
        <v>0.35416666666666669</v>
      </c>
      <c r="J79" s="30">
        <v>0.45833333333333331</v>
      </c>
    </row>
    <row r="80" spans="1:12" ht="25.2" x14ac:dyDescent="0.2">
      <c r="A80" s="22">
        <v>46099</v>
      </c>
      <c r="B80" s="22" t="s">
        <v>19</v>
      </c>
      <c r="C80" s="27" t="s">
        <v>132</v>
      </c>
      <c r="D80" s="27"/>
      <c r="E80" s="27" t="s">
        <v>62</v>
      </c>
      <c r="F80" s="27" t="s">
        <v>15</v>
      </c>
      <c r="G80" s="28" t="s">
        <v>285</v>
      </c>
      <c r="H80" s="29">
        <f t="shared" si="0"/>
        <v>2.9861111111111116E-2</v>
      </c>
      <c r="I80" s="30">
        <v>0.45833333333333331</v>
      </c>
      <c r="J80" s="30">
        <v>0.48819444444444443</v>
      </c>
    </row>
    <row r="81" spans="1:12" ht="25.2" x14ac:dyDescent="0.2">
      <c r="A81" s="22">
        <v>46099</v>
      </c>
      <c r="B81" s="22" t="s">
        <v>19</v>
      </c>
      <c r="C81" s="27" t="s">
        <v>132</v>
      </c>
      <c r="D81" s="27"/>
      <c r="E81" s="27" t="s">
        <v>62</v>
      </c>
      <c r="F81" s="27" t="s">
        <v>15</v>
      </c>
      <c r="G81" s="28" t="s">
        <v>286</v>
      </c>
      <c r="H81" s="29">
        <f t="shared" si="0"/>
        <v>5.5555555555555913E-3</v>
      </c>
      <c r="I81" s="30">
        <v>0.49166666666666664</v>
      </c>
      <c r="J81" s="30">
        <v>0.49722222222222223</v>
      </c>
    </row>
    <row r="82" spans="1:12" ht="37.799999999999997" x14ac:dyDescent="0.2">
      <c r="A82" s="22">
        <v>46099</v>
      </c>
      <c r="B82" s="22" t="s">
        <v>19</v>
      </c>
      <c r="C82" s="27" t="s">
        <v>132</v>
      </c>
      <c r="D82" s="27"/>
      <c r="E82" s="27" t="s">
        <v>33</v>
      </c>
      <c r="F82" s="27" t="s">
        <v>15</v>
      </c>
      <c r="G82" s="28" t="s">
        <v>288</v>
      </c>
      <c r="H82" s="29">
        <f t="shared" si="0"/>
        <v>0.125</v>
      </c>
      <c r="I82" s="30">
        <v>0.54166666666666663</v>
      </c>
      <c r="J82" s="30">
        <v>0.66666666666666663</v>
      </c>
    </row>
    <row r="83" spans="1:12" ht="25.2" x14ac:dyDescent="0.2">
      <c r="A83" s="22">
        <v>46099</v>
      </c>
      <c r="B83" s="22" t="s">
        <v>19</v>
      </c>
      <c r="C83" s="27" t="s">
        <v>132</v>
      </c>
      <c r="D83" s="27"/>
      <c r="E83" s="27" t="s">
        <v>62</v>
      </c>
      <c r="F83" s="27" t="s">
        <v>15</v>
      </c>
      <c r="G83" s="28" t="s">
        <v>267</v>
      </c>
      <c r="H83" s="29">
        <f t="shared" si="0"/>
        <v>5.0000000000000044E-2</v>
      </c>
      <c r="I83" s="30">
        <v>0.66666666666666663</v>
      </c>
      <c r="J83" s="30">
        <v>0.71666666666666667</v>
      </c>
      <c r="L83" s="64"/>
    </row>
    <row r="84" spans="1:12" ht="25.2" x14ac:dyDescent="0.2">
      <c r="A84" s="22">
        <v>46100</v>
      </c>
      <c r="B84" s="22" t="s">
        <v>20</v>
      </c>
      <c r="C84" s="27" t="s">
        <v>132</v>
      </c>
      <c r="D84" s="27"/>
      <c r="E84" s="27" t="s">
        <v>62</v>
      </c>
      <c r="F84" s="27" t="s">
        <v>15</v>
      </c>
      <c r="G84" s="28" t="s">
        <v>287</v>
      </c>
      <c r="H84" s="29">
        <f t="shared" si="0"/>
        <v>2.083333333333337E-2</v>
      </c>
      <c r="I84" s="30">
        <v>0.33333333333333331</v>
      </c>
      <c r="J84" s="30">
        <v>0.35416666666666669</v>
      </c>
    </row>
    <row r="85" spans="1:12" x14ac:dyDescent="0.2">
      <c r="A85" s="22">
        <v>46100</v>
      </c>
      <c r="B85" s="22" t="s">
        <v>20</v>
      </c>
      <c r="C85" s="27" t="s">
        <v>132</v>
      </c>
      <c r="D85" s="27"/>
      <c r="E85" s="27" t="s">
        <v>33</v>
      </c>
      <c r="F85" s="27" t="s">
        <v>15</v>
      </c>
      <c r="G85" s="28" t="s">
        <v>295</v>
      </c>
      <c r="H85" s="29">
        <f t="shared" ref="H85:H90" si="1">J85-I85</f>
        <v>0.10416666666666663</v>
      </c>
      <c r="I85" s="30">
        <v>0.35416666666666669</v>
      </c>
      <c r="J85" s="30">
        <v>0.45833333333333331</v>
      </c>
    </row>
    <row r="86" spans="1:12" ht="25.2" x14ac:dyDescent="0.2">
      <c r="A86" s="22">
        <v>46100</v>
      </c>
      <c r="B86" s="22" t="s">
        <v>20</v>
      </c>
      <c r="C86" s="27" t="s">
        <v>132</v>
      </c>
      <c r="D86" s="27"/>
      <c r="E86" s="27" t="s">
        <v>62</v>
      </c>
      <c r="F86" s="27" t="s">
        <v>15</v>
      </c>
      <c r="G86" s="28" t="s">
        <v>285</v>
      </c>
      <c r="H86" s="29">
        <f t="shared" si="1"/>
        <v>4.1666666666666685E-2</v>
      </c>
      <c r="I86" s="30">
        <v>0.45833333333333331</v>
      </c>
      <c r="J86" s="30">
        <v>0.5</v>
      </c>
    </row>
    <row r="87" spans="1:12" ht="37.799999999999997" x14ac:dyDescent="0.2">
      <c r="A87" s="22">
        <v>46100</v>
      </c>
      <c r="B87" s="22" t="s">
        <v>20</v>
      </c>
      <c r="C87" s="27" t="s">
        <v>132</v>
      </c>
      <c r="D87" s="27"/>
      <c r="E87" s="27" t="s">
        <v>33</v>
      </c>
      <c r="F87" s="27" t="s">
        <v>15</v>
      </c>
      <c r="G87" s="28" t="s">
        <v>289</v>
      </c>
      <c r="H87" s="29">
        <f t="shared" si="1"/>
        <v>4.1666666666666741E-2</v>
      </c>
      <c r="I87" s="30">
        <v>0.54166666666666663</v>
      </c>
      <c r="J87" s="30">
        <v>0.58333333333333337</v>
      </c>
      <c r="L87" s="64"/>
    </row>
    <row r="88" spans="1:12" ht="25.2" x14ac:dyDescent="0.2">
      <c r="A88" s="22">
        <v>46100</v>
      </c>
      <c r="B88" s="22" t="s">
        <v>20</v>
      </c>
      <c r="C88" s="27" t="s">
        <v>132</v>
      </c>
      <c r="D88" s="27"/>
      <c r="E88" s="27" t="s">
        <v>62</v>
      </c>
      <c r="F88" s="27" t="s">
        <v>15</v>
      </c>
      <c r="G88" s="28" t="s">
        <v>286</v>
      </c>
      <c r="H88" s="29">
        <f t="shared" si="1"/>
        <v>5.5555555555555358E-3</v>
      </c>
      <c r="I88" s="30">
        <v>0.58333333333333337</v>
      </c>
      <c r="J88" s="30">
        <v>0.58888888888888891</v>
      </c>
    </row>
    <row r="89" spans="1:12" ht="37.799999999999997" x14ac:dyDescent="0.2">
      <c r="A89" s="22">
        <v>46100</v>
      </c>
      <c r="B89" s="22" t="s">
        <v>20</v>
      </c>
      <c r="C89" s="27" t="s">
        <v>132</v>
      </c>
      <c r="D89" s="27"/>
      <c r="E89" s="27" t="s">
        <v>33</v>
      </c>
      <c r="F89" s="27" t="s">
        <v>15</v>
      </c>
      <c r="G89" s="28" t="s">
        <v>294</v>
      </c>
      <c r="H89" s="29">
        <f t="shared" si="1"/>
        <v>7.7777777777777724E-2</v>
      </c>
      <c r="I89" s="30">
        <v>0.58888888888888891</v>
      </c>
      <c r="J89" s="30">
        <v>0.66666666666666663</v>
      </c>
      <c r="L89" s="64"/>
    </row>
    <row r="90" spans="1:12" ht="25.2" x14ac:dyDescent="0.2">
      <c r="A90" s="22">
        <v>46100</v>
      </c>
      <c r="B90" s="22" t="s">
        <v>20</v>
      </c>
      <c r="C90" s="27" t="s">
        <v>132</v>
      </c>
      <c r="D90" s="27"/>
      <c r="E90" s="27" t="s">
        <v>33</v>
      </c>
      <c r="F90" s="27" t="s">
        <v>15</v>
      </c>
      <c r="G90" s="28" t="s">
        <v>290</v>
      </c>
      <c r="H90" s="29">
        <f t="shared" si="1"/>
        <v>4.1666666666666741E-2</v>
      </c>
      <c r="I90" s="30">
        <v>0.66666666666666663</v>
      </c>
      <c r="J90" s="30">
        <v>0.70833333333333337</v>
      </c>
      <c r="L90" s="64"/>
    </row>
    <row r="91" spans="1:12" ht="25.2" x14ac:dyDescent="0.2">
      <c r="A91" s="22">
        <v>46101</v>
      </c>
      <c r="B91" s="22" t="s">
        <v>11</v>
      </c>
      <c r="C91" s="27" t="s">
        <v>132</v>
      </c>
      <c r="D91" s="27"/>
      <c r="E91" s="27" t="s">
        <v>62</v>
      </c>
      <c r="F91" s="27" t="s">
        <v>15</v>
      </c>
      <c r="G91" s="28" t="s">
        <v>291</v>
      </c>
      <c r="H91" s="29">
        <f t="shared" si="0"/>
        <v>6.9444444444444753E-3</v>
      </c>
      <c r="I91" s="30">
        <v>0.33333333333333331</v>
      </c>
      <c r="J91" s="30">
        <v>0.34027777777777779</v>
      </c>
    </row>
    <row r="92" spans="1:12" ht="25.2" x14ac:dyDescent="0.2">
      <c r="A92" s="22">
        <v>46101</v>
      </c>
      <c r="B92" s="22" t="s">
        <v>11</v>
      </c>
      <c r="C92" s="27" t="s">
        <v>132</v>
      </c>
      <c r="D92" s="27"/>
      <c r="E92" s="27" t="s">
        <v>33</v>
      </c>
      <c r="F92" s="27" t="s">
        <v>15</v>
      </c>
      <c r="G92" s="28" t="s">
        <v>293</v>
      </c>
      <c r="H92" s="29">
        <f t="shared" si="0"/>
        <v>3.125E-2</v>
      </c>
      <c r="I92" s="30">
        <v>0.34027777777777779</v>
      </c>
      <c r="J92" s="30">
        <v>0.37152777777777779</v>
      </c>
    </row>
    <row r="93" spans="1:12" ht="25.2" x14ac:dyDescent="0.2">
      <c r="A93" s="22">
        <v>46101</v>
      </c>
      <c r="B93" s="22" t="s">
        <v>11</v>
      </c>
      <c r="C93" s="27" t="s">
        <v>132</v>
      </c>
      <c r="D93" s="27"/>
      <c r="E93" s="27" t="s">
        <v>62</v>
      </c>
      <c r="F93" s="27" t="s">
        <v>15</v>
      </c>
      <c r="G93" s="28" t="s">
        <v>297</v>
      </c>
      <c r="H93" s="29">
        <f t="shared" si="0"/>
        <v>2.4305555555555525E-2</v>
      </c>
      <c r="I93" s="30">
        <v>0.37152777777777779</v>
      </c>
      <c r="J93" s="30">
        <v>0.39583333333333331</v>
      </c>
      <c r="L93" s="64"/>
    </row>
    <row r="94" spans="1:12" ht="25.2" x14ac:dyDescent="0.2">
      <c r="A94" s="22">
        <v>46101</v>
      </c>
      <c r="B94" s="22" t="s">
        <v>11</v>
      </c>
      <c r="C94" s="27" t="s">
        <v>132</v>
      </c>
      <c r="D94" s="27"/>
      <c r="E94" s="27" t="s">
        <v>33</v>
      </c>
      <c r="F94" s="27" t="s">
        <v>15</v>
      </c>
      <c r="G94" s="28" t="s">
        <v>292</v>
      </c>
      <c r="H94" s="29">
        <f t="shared" si="0"/>
        <v>6.25E-2</v>
      </c>
      <c r="I94" s="30">
        <v>0.39583333333333331</v>
      </c>
      <c r="J94" s="30">
        <v>0.45833333333333331</v>
      </c>
      <c r="L94" s="64"/>
    </row>
    <row r="95" spans="1:12" ht="25.2" x14ac:dyDescent="0.2">
      <c r="A95" s="22">
        <v>46101</v>
      </c>
      <c r="B95" s="22" t="s">
        <v>11</v>
      </c>
      <c r="C95" s="27" t="s">
        <v>132</v>
      </c>
      <c r="D95" s="27"/>
      <c r="E95" s="27" t="s">
        <v>62</v>
      </c>
      <c r="F95" s="27" t="s">
        <v>15</v>
      </c>
      <c r="G95" s="28" t="s">
        <v>298</v>
      </c>
      <c r="H95" s="29">
        <f t="shared" si="0"/>
        <v>3.2638888888888884E-2</v>
      </c>
      <c r="I95" s="30">
        <v>0.45833333333333331</v>
      </c>
      <c r="J95" s="30">
        <v>0.4909722222222222</v>
      </c>
      <c r="L95" s="64"/>
    </row>
    <row r="96" spans="1:12" x14ac:dyDescent="0.2">
      <c r="A96" s="22">
        <v>46101</v>
      </c>
      <c r="B96" s="22" t="s">
        <v>11</v>
      </c>
      <c r="C96" s="27" t="s">
        <v>132</v>
      </c>
      <c r="D96" s="27"/>
      <c r="E96" s="27" t="s">
        <v>33</v>
      </c>
      <c r="F96" s="27" t="s">
        <v>15</v>
      </c>
      <c r="G96" s="28" t="s">
        <v>299</v>
      </c>
      <c r="H96" s="29">
        <f t="shared" si="0"/>
        <v>9.0277777777778567E-3</v>
      </c>
      <c r="I96" s="30">
        <v>0.54166666666666663</v>
      </c>
      <c r="J96" s="30">
        <v>0.55069444444444449</v>
      </c>
    </row>
    <row r="97" spans="1:12" ht="63" x14ac:dyDescent="0.2">
      <c r="A97" s="22">
        <v>46101</v>
      </c>
      <c r="B97" s="22" t="s">
        <v>11</v>
      </c>
      <c r="C97" s="27" t="s">
        <v>132</v>
      </c>
      <c r="D97" s="27"/>
      <c r="E97" s="27" t="s">
        <v>33</v>
      </c>
      <c r="F97" s="27" t="s">
        <v>15</v>
      </c>
      <c r="G97" s="28" t="s">
        <v>296</v>
      </c>
      <c r="H97" s="29">
        <f t="shared" si="0"/>
        <v>0.11597222222222214</v>
      </c>
      <c r="I97" s="30">
        <v>0.55069444444444449</v>
      </c>
      <c r="J97" s="30">
        <v>0.66666666666666663</v>
      </c>
      <c r="L97" s="64"/>
    </row>
    <row r="98" spans="1:12" ht="25.2" x14ac:dyDescent="0.2">
      <c r="A98" s="22">
        <v>46101</v>
      </c>
      <c r="B98" s="22" t="s">
        <v>11</v>
      </c>
      <c r="C98" s="27" t="s">
        <v>132</v>
      </c>
      <c r="D98" s="27"/>
      <c r="E98" s="27" t="s">
        <v>62</v>
      </c>
      <c r="F98" s="27" t="s">
        <v>15</v>
      </c>
      <c r="G98" s="28" t="s">
        <v>270</v>
      </c>
      <c r="H98" s="29">
        <f t="shared" si="0"/>
        <v>5.1388888888888928E-2</v>
      </c>
      <c r="I98" s="30">
        <v>0.66666666666666663</v>
      </c>
      <c r="J98" s="30">
        <v>0.71805555555555556</v>
      </c>
      <c r="L98" s="64"/>
    </row>
    <row r="99" spans="1:12" x14ac:dyDescent="0.2">
      <c r="A99" s="31">
        <v>46102</v>
      </c>
      <c r="B99" s="22" t="s">
        <v>14</v>
      </c>
      <c r="C99" s="48" t="s">
        <v>132</v>
      </c>
      <c r="D99" s="48"/>
      <c r="E99" s="48" t="s">
        <v>89</v>
      </c>
      <c r="F99" s="48" t="s">
        <v>15</v>
      </c>
      <c r="G99" s="49" t="s">
        <v>106</v>
      </c>
      <c r="H99" s="50">
        <f t="shared" si="0"/>
        <v>0.33333333333333331</v>
      </c>
      <c r="I99" s="51">
        <v>0.33333333333333331</v>
      </c>
      <c r="J99" s="51">
        <v>0.66666666666666663</v>
      </c>
    </row>
    <row r="100" spans="1:12" x14ac:dyDescent="0.2">
      <c r="A100" s="31">
        <v>46103</v>
      </c>
      <c r="B100" s="22" t="s">
        <v>16</v>
      </c>
      <c r="C100" s="32"/>
      <c r="D100" s="32"/>
      <c r="E100" s="32"/>
      <c r="F100" s="32"/>
      <c r="G100" s="33"/>
      <c r="H100" s="34">
        <f t="shared" si="0"/>
        <v>0</v>
      </c>
      <c r="I100" s="35"/>
      <c r="J100" s="35"/>
    </row>
    <row r="101" spans="1:12" ht="50.4" x14ac:dyDescent="0.2">
      <c r="A101" s="22">
        <v>46104</v>
      </c>
      <c r="B101" s="22" t="s">
        <v>17</v>
      </c>
      <c r="C101" s="27" t="s">
        <v>132</v>
      </c>
      <c r="D101" s="27"/>
      <c r="E101" s="27" t="s">
        <v>62</v>
      </c>
      <c r="F101" s="27" t="s">
        <v>15</v>
      </c>
      <c r="G101" s="28" t="s">
        <v>301</v>
      </c>
      <c r="H101" s="29">
        <f t="shared" si="0"/>
        <v>3.4722222222222265E-2</v>
      </c>
      <c r="I101" s="30">
        <v>0.33333333333333331</v>
      </c>
      <c r="J101" s="30">
        <v>0.36805555555555558</v>
      </c>
    </row>
    <row r="102" spans="1:12" ht="37.799999999999997" x14ac:dyDescent="0.2">
      <c r="A102" s="22">
        <v>46104</v>
      </c>
      <c r="B102" s="22" t="s">
        <v>17</v>
      </c>
      <c r="C102" s="27" t="s">
        <v>132</v>
      </c>
      <c r="D102" s="27"/>
      <c r="E102" s="27" t="s">
        <v>33</v>
      </c>
      <c r="F102" s="27" t="s">
        <v>15</v>
      </c>
      <c r="G102" s="28" t="s">
        <v>251</v>
      </c>
      <c r="H102" s="29">
        <f t="shared" si="0"/>
        <v>8.6805555555555525E-2</v>
      </c>
      <c r="I102" s="30">
        <v>0.36805555555555558</v>
      </c>
      <c r="J102" s="30">
        <v>0.4548611111111111</v>
      </c>
    </row>
    <row r="103" spans="1:12" ht="25.2" x14ac:dyDescent="0.2">
      <c r="A103" s="22">
        <v>46104</v>
      </c>
      <c r="B103" s="22" t="s">
        <v>17</v>
      </c>
      <c r="C103" s="27" t="s">
        <v>132</v>
      </c>
      <c r="D103" s="27"/>
      <c r="E103" s="27"/>
      <c r="F103" s="27" t="s">
        <v>15</v>
      </c>
      <c r="G103" s="28" t="s">
        <v>298</v>
      </c>
      <c r="H103" s="29">
        <f t="shared" si="0"/>
        <v>4.1666666666666685E-2</v>
      </c>
      <c r="I103" s="30">
        <v>0.45833333333333331</v>
      </c>
      <c r="J103" s="30">
        <v>0.5</v>
      </c>
    </row>
    <row r="104" spans="1:12" x14ac:dyDescent="0.2">
      <c r="A104" s="22">
        <v>46104</v>
      </c>
      <c r="B104" s="22" t="s">
        <v>17</v>
      </c>
      <c r="C104" s="27" t="s">
        <v>132</v>
      </c>
      <c r="D104" s="27"/>
      <c r="E104" s="27" t="s">
        <v>33</v>
      </c>
      <c r="F104" s="27" t="s">
        <v>15</v>
      </c>
      <c r="G104" s="28" t="s">
        <v>303</v>
      </c>
      <c r="H104" s="29">
        <f t="shared" si="0"/>
        <v>4.4444444444444509E-2</v>
      </c>
      <c r="I104" s="30">
        <v>0.54166666666666663</v>
      </c>
      <c r="J104" s="30">
        <v>0.58611111111111114</v>
      </c>
    </row>
    <row r="105" spans="1:12" x14ac:dyDescent="0.2">
      <c r="A105" s="22">
        <v>46104</v>
      </c>
      <c r="B105" s="22" t="s">
        <v>17</v>
      </c>
      <c r="C105" s="27" t="s">
        <v>132</v>
      </c>
      <c r="D105" s="27"/>
      <c r="E105" s="27" t="s">
        <v>62</v>
      </c>
      <c r="F105" s="27" t="s">
        <v>15</v>
      </c>
      <c r="G105" s="28" t="s">
        <v>304</v>
      </c>
      <c r="H105" s="29">
        <f t="shared" si="0"/>
        <v>1.7361111111111049E-2</v>
      </c>
      <c r="I105" s="30">
        <v>0.58611111111111114</v>
      </c>
      <c r="J105" s="30">
        <v>0.60347222222222219</v>
      </c>
    </row>
    <row r="106" spans="1:12" ht="50.4" x14ac:dyDescent="0.2">
      <c r="A106" s="22">
        <v>46104</v>
      </c>
      <c r="B106" s="22" t="s">
        <v>17</v>
      </c>
      <c r="C106" s="27" t="s">
        <v>132</v>
      </c>
      <c r="D106" s="27"/>
      <c r="E106" s="27" t="s">
        <v>62</v>
      </c>
      <c r="F106" s="27" t="s">
        <v>15</v>
      </c>
      <c r="G106" s="28" t="s">
        <v>302</v>
      </c>
      <c r="H106" s="29">
        <f t="shared" si="0"/>
        <v>1.6666666666666718E-2</v>
      </c>
      <c r="I106" s="30">
        <v>0.60347222222222219</v>
      </c>
      <c r="J106" s="30">
        <v>0.62013888888888891</v>
      </c>
      <c r="L106" s="64"/>
    </row>
    <row r="107" spans="1:12" ht="37.799999999999997" x14ac:dyDescent="0.2">
      <c r="A107" s="22">
        <v>46104</v>
      </c>
      <c r="B107" s="22" t="s">
        <v>17</v>
      </c>
      <c r="C107" s="27" t="s">
        <v>132</v>
      </c>
      <c r="D107" s="27"/>
      <c r="E107" s="27" t="s">
        <v>33</v>
      </c>
      <c r="F107" s="27" t="s">
        <v>15</v>
      </c>
      <c r="G107" s="28" t="s">
        <v>305</v>
      </c>
      <c r="H107" s="29">
        <f t="shared" si="0"/>
        <v>4.166666666666663E-2</v>
      </c>
      <c r="I107" s="30">
        <v>0.625</v>
      </c>
      <c r="J107" s="30">
        <v>0.66666666666666663</v>
      </c>
      <c r="L107" s="64"/>
    </row>
    <row r="108" spans="1:12" ht="37.799999999999997" x14ac:dyDescent="0.2">
      <c r="A108" s="22">
        <v>46104</v>
      </c>
      <c r="B108" s="22" t="s">
        <v>17</v>
      </c>
      <c r="C108" s="27" t="s">
        <v>132</v>
      </c>
      <c r="D108" s="27"/>
      <c r="E108" s="27" t="s">
        <v>33</v>
      </c>
      <c r="F108" s="27" t="s">
        <v>15</v>
      </c>
      <c r="G108" s="28" t="s">
        <v>306</v>
      </c>
      <c r="H108" s="29">
        <f t="shared" si="0"/>
        <v>5.208333333333337E-2</v>
      </c>
      <c r="I108" s="30">
        <v>0.66666666666666663</v>
      </c>
      <c r="J108" s="30">
        <v>0.71875</v>
      </c>
    </row>
    <row r="109" spans="1:12" ht="25.2" x14ac:dyDescent="0.2">
      <c r="A109" s="22">
        <v>46105</v>
      </c>
      <c r="B109" s="22" t="s">
        <v>18</v>
      </c>
      <c r="C109" s="27" t="s">
        <v>132</v>
      </c>
      <c r="D109" s="27"/>
      <c r="E109" s="27" t="s">
        <v>62</v>
      </c>
      <c r="F109" s="27" t="s">
        <v>15</v>
      </c>
      <c r="G109" s="28" t="s">
        <v>298</v>
      </c>
      <c r="H109" s="29">
        <f t="shared" si="0"/>
        <v>6.4583333333333326E-2</v>
      </c>
      <c r="I109" s="30">
        <v>0.33333333333333331</v>
      </c>
      <c r="J109" s="30">
        <v>0.39791666666666664</v>
      </c>
    </row>
    <row r="110" spans="1:12" x14ac:dyDescent="0.2">
      <c r="A110" s="22">
        <v>46105</v>
      </c>
      <c r="B110" s="22" t="s">
        <v>18</v>
      </c>
      <c r="C110" s="27" t="s">
        <v>132</v>
      </c>
      <c r="D110" s="27"/>
      <c r="E110" s="27" t="s">
        <v>33</v>
      </c>
      <c r="F110" s="27" t="s">
        <v>15</v>
      </c>
      <c r="G110" s="28" t="s">
        <v>307</v>
      </c>
      <c r="H110" s="29">
        <f t="shared" si="0"/>
        <v>6.0416666666666674E-2</v>
      </c>
      <c r="I110" s="30">
        <v>0.39791666666666664</v>
      </c>
      <c r="J110" s="30">
        <v>0.45833333333333331</v>
      </c>
    </row>
    <row r="111" spans="1:12" x14ac:dyDescent="0.2">
      <c r="A111" s="22">
        <v>46105</v>
      </c>
      <c r="B111" s="22" t="s">
        <v>18</v>
      </c>
      <c r="C111" s="27" t="s">
        <v>132</v>
      </c>
      <c r="D111" s="27"/>
      <c r="E111" s="27" t="s">
        <v>62</v>
      </c>
      <c r="F111" s="27" t="s">
        <v>15</v>
      </c>
      <c r="G111" s="28" t="s">
        <v>308</v>
      </c>
      <c r="H111" s="29">
        <f t="shared" si="0"/>
        <v>5.5555555555555525E-2</v>
      </c>
      <c r="I111" s="30">
        <v>0.45833333333333331</v>
      </c>
      <c r="J111" s="30">
        <v>0.51388888888888884</v>
      </c>
    </row>
    <row r="112" spans="1:12" ht="37.799999999999997" x14ac:dyDescent="0.2">
      <c r="A112" s="22">
        <v>46105</v>
      </c>
      <c r="B112" s="22" t="s">
        <v>18</v>
      </c>
      <c r="C112" s="27" t="s">
        <v>132</v>
      </c>
      <c r="D112" s="27"/>
      <c r="E112" s="27" t="s">
        <v>33</v>
      </c>
      <c r="F112" s="27" t="s">
        <v>15</v>
      </c>
      <c r="G112" s="28" t="s">
        <v>309</v>
      </c>
      <c r="H112" s="29">
        <f t="shared" si="0"/>
        <v>2.777777777777779E-2</v>
      </c>
      <c r="I112" s="30">
        <v>0.55208333333333337</v>
      </c>
      <c r="J112" s="30">
        <v>0.57986111111111116</v>
      </c>
      <c r="L112" s="64"/>
    </row>
    <row r="113" spans="1:12" x14ac:dyDescent="0.2">
      <c r="A113" s="22">
        <v>46105</v>
      </c>
      <c r="B113" s="22" t="s">
        <v>18</v>
      </c>
      <c r="C113" s="27" t="s">
        <v>132</v>
      </c>
      <c r="D113" s="27"/>
      <c r="E113" s="27" t="s">
        <v>62</v>
      </c>
      <c r="F113" s="27" t="s">
        <v>15</v>
      </c>
      <c r="G113" s="28" t="s">
        <v>304</v>
      </c>
      <c r="H113" s="29">
        <f t="shared" si="0"/>
        <v>8.3333333333333259E-2</v>
      </c>
      <c r="I113" s="30">
        <v>0.57986111111111116</v>
      </c>
      <c r="J113" s="30">
        <v>0.66319444444444442</v>
      </c>
    </row>
    <row r="114" spans="1:12" ht="25.2" x14ac:dyDescent="0.2">
      <c r="A114" s="22">
        <v>46105</v>
      </c>
      <c r="B114" s="22" t="s">
        <v>18</v>
      </c>
      <c r="C114" s="27" t="s">
        <v>132</v>
      </c>
      <c r="D114" s="27"/>
      <c r="E114" s="27" t="s">
        <v>62</v>
      </c>
      <c r="F114" s="27" t="s">
        <v>15</v>
      </c>
      <c r="G114" s="28" t="s">
        <v>267</v>
      </c>
      <c r="H114" s="29">
        <f t="shared" si="0"/>
        <v>2.083333333333337E-2</v>
      </c>
      <c r="I114" s="30">
        <v>0.66666666666666663</v>
      </c>
      <c r="J114" s="30">
        <v>0.6875</v>
      </c>
      <c r="L114" s="64"/>
    </row>
    <row r="115" spans="1:12" ht="25.2" x14ac:dyDescent="0.2">
      <c r="A115" s="22">
        <v>46105</v>
      </c>
      <c r="B115" s="22" t="s">
        <v>18</v>
      </c>
      <c r="C115" s="27" t="s">
        <v>132</v>
      </c>
      <c r="D115" s="27"/>
      <c r="E115" s="27" t="s">
        <v>33</v>
      </c>
      <c r="F115" s="27" t="s">
        <v>15</v>
      </c>
      <c r="G115" s="28" t="s">
        <v>310</v>
      </c>
      <c r="H115" s="29">
        <f t="shared" si="0"/>
        <v>2.9861111111111116E-2</v>
      </c>
      <c r="I115" s="30">
        <v>0.6875</v>
      </c>
      <c r="J115" s="30">
        <v>0.71736111111111112</v>
      </c>
      <c r="L115" s="64"/>
    </row>
    <row r="116" spans="1:12" x14ac:dyDescent="0.2">
      <c r="A116" s="22">
        <v>46106</v>
      </c>
      <c r="B116" s="22" t="s">
        <v>19</v>
      </c>
      <c r="C116" s="27" t="s">
        <v>132</v>
      </c>
      <c r="D116" s="27"/>
      <c r="E116" s="27" t="s">
        <v>62</v>
      </c>
      <c r="F116" s="27" t="s">
        <v>15</v>
      </c>
      <c r="G116" s="28" t="s">
        <v>308</v>
      </c>
      <c r="H116" s="29">
        <f t="shared" ref="H116:H122" si="2">J116-I116</f>
        <v>6.2500000000000333E-3</v>
      </c>
      <c r="I116" s="30">
        <v>0.33333333333333331</v>
      </c>
      <c r="J116" s="30">
        <v>0.33958333333333335</v>
      </c>
    </row>
    <row r="117" spans="1:12" ht="25.2" x14ac:dyDescent="0.2">
      <c r="A117" s="22">
        <v>46106</v>
      </c>
      <c r="B117" s="22" t="s">
        <v>19</v>
      </c>
      <c r="C117" s="27" t="s">
        <v>132</v>
      </c>
      <c r="D117" s="27"/>
      <c r="E117" s="27" t="s">
        <v>33</v>
      </c>
      <c r="F117" s="27" t="s">
        <v>15</v>
      </c>
      <c r="G117" s="28" t="s">
        <v>310</v>
      </c>
      <c r="H117" s="29">
        <f t="shared" si="2"/>
        <v>0.11874999999999997</v>
      </c>
      <c r="I117" s="30">
        <v>0.33958333333333335</v>
      </c>
      <c r="J117" s="30">
        <v>0.45833333333333331</v>
      </c>
    </row>
    <row r="118" spans="1:12" ht="25.2" x14ac:dyDescent="0.2">
      <c r="A118" s="22">
        <v>46106</v>
      </c>
      <c r="B118" s="22" t="s">
        <v>19</v>
      </c>
      <c r="C118" s="27" t="s">
        <v>132</v>
      </c>
      <c r="D118" s="27"/>
      <c r="E118" s="27" t="s">
        <v>62</v>
      </c>
      <c r="F118" s="27" t="s">
        <v>15</v>
      </c>
      <c r="G118" s="28" t="s">
        <v>298</v>
      </c>
      <c r="H118" s="29">
        <f t="shared" si="2"/>
        <v>3.9583333333333359E-2</v>
      </c>
      <c r="I118" s="30">
        <v>0.45833333333333331</v>
      </c>
      <c r="J118" s="30">
        <v>0.49791666666666667</v>
      </c>
    </row>
    <row r="119" spans="1:12" x14ac:dyDescent="0.2">
      <c r="A119" s="22">
        <v>46106</v>
      </c>
      <c r="B119" s="22" t="s">
        <v>19</v>
      </c>
      <c r="C119" s="27" t="s">
        <v>132</v>
      </c>
      <c r="D119" s="27"/>
      <c r="E119" s="27" t="s">
        <v>33</v>
      </c>
      <c r="F119" s="27" t="s">
        <v>15</v>
      </c>
      <c r="G119" s="28" t="s">
        <v>323</v>
      </c>
      <c r="H119" s="29">
        <f t="shared" si="2"/>
        <v>1.7361111111111049E-2</v>
      </c>
      <c r="I119" s="30">
        <v>0.52430555555555558</v>
      </c>
      <c r="J119" s="30">
        <v>0.54166666666666663</v>
      </c>
    </row>
    <row r="120" spans="1:12" ht="25.2" x14ac:dyDescent="0.2">
      <c r="A120" s="22">
        <v>46106</v>
      </c>
      <c r="B120" s="22" t="s">
        <v>19</v>
      </c>
      <c r="C120" s="27" t="s">
        <v>132</v>
      </c>
      <c r="D120" s="27"/>
      <c r="E120" s="27" t="s">
        <v>33</v>
      </c>
      <c r="F120" s="27" t="s">
        <v>15</v>
      </c>
      <c r="G120" s="28" t="s">
        <v>311</v>
      </c>
      <c r="H120" s="29">
        <f t="shared" si="2"/>
        <v>6.25E-2</v>
      </c>
      <c r="I120" s="30">
        <v>0.54166666666666663</v>
      </c>
      <c r="J120" s="30">
        <v>0.60416666666666663</v>
      </c>
    </row>
    <row r="121" spans="1:12" ht="25.2" x14ac:dyDescent="0.2">
      <c r="A121" s="22">
        <v>46106</v>
      </c>
      <c r="B121" s="22" t="s">
        <v>19</v>
      </c>
      <c r="C121" s="27" t="s">
        <v>132</v>
      </c>
      <c r="D121" s="27"/>
      <c r="E121" s="27" t="s">
        <v>62</v>
      </c>
      <c r="F121" s="27" t="s">
        <v>15</v>
      </c>
      <c r="G121" s="28" t="s">
        <v>312</v>
      </c>
      <c r="H121" s="29">
        <f t="shared" si="2"/>
        <v>2.083333333333337E-2</v>
      </c>
      <c r="I121" s="30">
        <v>0.60416666666666663</v>
      </c>
      <c r="J121" s="30">
        <v>0.625</v>
      </c>
    </row>
    <row r="122" spans="1:12" ht="25.2" x14ac:dyDescent="0.2">
      <c r="A122" s="22">
        <v>46106</v>
      </c>
      <c r="B122" s="22" t="s">
        <v>19</v>
      </c>
      <c r="C122" s="27" t="s">
        <v>132</v>
      </c>
      <c r="D122" s="27"/>
      <c r="E122" s="27" t="s">
        <v>62</v>
      </c>
      <c r="F122" s="27" t="s">
        <v>15</v>
      </c>
      <c r="G122" s="28" t="s">
        <v>313</v>
      </c>
      <c r="H122" s="29">
        <f t="shared" si="2"/>
        <v>6.7361111111111094E-2</v>
      </c>
      <c r="I122" s="30">
        <v>0.64583333333333337</v>
      </c>
      <c r="J122" s="30">
        <v>0.71319444444444446</v>
      </c>
      <c r="L122" s="64"/>
    </row>
    <row r="123" spans="1:12" ht="25.2" x14ac:dyDescent="0.2">
      <c r="A123" s="22">
        <v>46106</v>
      </c>
      <c r="B123" s="22" t="s">
        <v>19</v>
      </c>
      <c r="C123" s="27" t="s">
        <v>132</v>
      </c>
      <c r="D123" s="27"/>
      <c r="E123" s="27" t="s">
        <v>62</v>
      </c>
      <c r="F123" s="27" t="s">
        <v>15</v>
      </c>
      <c r="G123" s="28" t="s">
        <v>267</v>
      </c>
      <c r="H123" s="29">
        <f t="shared" si="0"/>
        <v>6.9444444444444198E-3</v>
      </c>
      <c r="I123" s="30">
        <v>0.71319444444444446</v>
      </c>
      <c r="J123" s="30">
        <v>0.72013888888888888</v>
      </c>
    </row>
    <row r="124" spans="1:12" ht="25.2" x14ac:dyDescent="0.2">
      <c r="A124" s="22">
        <v>46107</v>
      </c>
      <c r="B124" s="22" t="s">
        <v>20</v>
      </c>
      <c r="C124" s="27" t="s">
        <v>132</v>
      </c>
      <c r="D124" s="27"/>
      <c r="E124" s="27" t="s">
        <v>62</v>
      </c>
      <c r="F124" s="27" t="s">
        <v>15</v>
      </c>
      <c r="G124" s="28" t="s">
        <v>298</v>
      </c>
      <c r="H124" s="29">
        <f t="shared" si="0"/>
        <v>3.8888888888888917E-2</v>
      </c>
      <c r="I124" s="30">
        <v>0.33333333333333331</v>
      </c>
      <c r="J124" s="30">
        <v>0.37222222222222223</v>
      </c>
    </row>
    <row r="125" spans="1:12" ht="25.2" x14ac:dyDescent="0.2">
      <c r="A125" s="22">
        <v>46107</v>
      </c>
      <c r="B125" s="22" t="s">
        <v>20</v>
      </c>
      <c r="C125" s="27" t="s">
        <v>132</v>
      </c>
      <c r="D125" s="27"/>
      <c r="E125" s="27" t="s">
        <v>33</v>
      </c>
      <c r="F125" s="27" t="s">
        <v>15</v>
      </c>
      <c r="G125" s="28" t="s">
        <v>311</v>
      </c>
      <c r="H125" s="29">
        <f t="shared" si="0"/>
        <v>2.0833333333333315E-2</v>
      </c>
      <c r="I125" s="30">
        <v>0.375</v>
      </c>
      <c r="J125" s="30">
        <v>0.39583333333333331</v>
      </c>
      <c r="L125" s="64"/>
    </row>
    <row r="126" spans="1:12" ht="37.799999999999997" x14ac:dyDescent="0.2">
      <c r="A126" s="22">
        <v>46107</v>
      </c>
      <c r="B126" s="22" t="s">
        <v>20</v>
      </c>
      <c r="C126" s="27" t="s">
        <v>132</v>
      </c>
      <c r="D126" s="27"/>
      <c r="E126" s="27" t="s">
        <v>62</v>
      </c>
      <c r="F126" s="27" t="s">
        <v>15</v>
      </c>
      <c r="G126" s="28" t="s">
        <v>314</v>
      </c>
      <c r="H126" s="29">
        <f t="shared" si="0"/>
        <v>9.0277777777778012E-3</v>
      </c>
      <c r="I126" s="30">
        <v>0.39583333333333331</v>
      </c>
      <c r="J126" s="30">
        <v>0.40486111111111112</v>
      </c>
      <c r="L126" s="64"/>
    </row>
    <row r="127" spans="1:12" ht="25.2" x14ac:dyDescent="0.2">
      <c r="A127" s="22">
        <v>46107</v>
      </c>
      <c r="B127" s="22" t="s">
        <v>20</v>
      </c>
      <c r="C127" s="27" t="s">
        <v>132</v>
      </c>
      <c r="D127" s="27"/>
      <c r="E127" s="27" t="s">
        <v>33</v>
      </c>
      <c r="F127" s="27" t="s">
        <v>15</v>
      </c>
      <c r="G127" s="28" t="s">
        <v>310</v>
      </c>
      <c r="H127" s="29">
        <f t="shared" si="0"/>
        <v>5.3472222222222199E-2</v>
      </c>
      <c r="I127" s="30">
        <v>0.40486111111111112</v>
      </c>
      <c r="J127" s="30">
        <v>0.45833333333333331</v>
      </c>
    </row>
    <row r="128" spans="1:12" ht="25.2" x14ac:dyDescent="0.2">
      <c r="A128" s="22">
        <v>46107</v>
      </c>
      <c r="B128" s="22" t="s">
        <v>20</v>
      </c>
      <c r="C128" s="27" t="s">
        <v>132</v>
      </c>
      <c r="D128" s="27"/>
      <c r="E128" s="27" t="s">
        <v>62</v>
      </c>
      <c r="F128" s="27" t="s">
        <v>15</v>
      </c>
      <c r="G128" s="28" t="s">
        <v>298</v>
      </c>
      <c r="H128" s="29">
        <f t="shared" si="0"/>
        <v>3.3333333333333326E-2</v>
      </c>
      <c r="I128" s="30">
        <v>0.45833333333333331</v>
      </c>
      <c r="J128" s="30">
        <v>0.49166666666666664</v>
      </c>
    </row>
    <row r="129" spans="1:12" ht="25.2" x14ac:dyDescent="0.2">
      <c r="A129" s="22">
        <v>46107</v>
      </c>
      <c r="B129" s="22" t="s">
        <v>20</v>
      </c>
      <c r="C129" s="27" t="s">
        <v>132</v>
      </c>
      <c r="D129" s="27"/>
      <c r="E129" s="27" t="s">
        <v>33</v>
      </c>
      <c r="F129" s="27" t="s">
        <v>15</v>
      </c>
      <c r="G129" s="28" t="s">
        <v>310</v>
      </c>
      <c r="H129" s="29">
        <f t="shared" si="0"/>
        <v>1.1805555555555569E-2</v>
      </c>
      <c r="I129" s="30">
        <v>0.49166666666666664</v>
      </c>
      <c r="J129" s="30">
        <v>0.50347222222222221</v>
      </c>
      <c r="L129" s="64"/>
    </row>
    <row r="130" spans="1:12" ht="25.2" x14ac:dyDescent="0.2">
      <c r="A130" s="22">
        <v>46107</v>
      </c>
      <c r="B130" s="22" t="s">
        <v>20</v>
      </c>
      <c r="C130" s="27" t="s">
        <v>132</v>
      </c>
      <c r="D130" s="27"/>
      <c r="E130" s="27" t="s">
        <v>33</v>
      </c>
      <c r="F130" s="27" t="s">
        <v>15</v>
      </c>
      <c r="G130" s="28" t="s">
        <v>317</v>
      </c>
      <c r="H130" s="29">
        <f t="shared" si="0"/>
        <v>4.1666666666666741E-2</v>
      </c>
      <c r="I130" s="30">
        <v>0.54166666666666663</v>
      </c>
      <c r="J130" s="30">
        <v>0.58333333333333337</v>
      </c>
      <c r="L130" s="64"/>
    </row>
    <row r="131" spans="1:12" ht="25.2" x14ac:dyDescent="0.2">
      <c r="A131" s="22">
        <v>46107</v>
      </c>
      <c r="B131" s="22" t="s">
        <v>20</v>
      </c>
      <c r="C131" s="27" t="s">
        <v>132</v>
      </c>
      <c r="D131" s="27"/>
      <c r="E131" s="27" t="s">
        <v>62</v>
      </c>
      <c r="F131" s="27" t="s">
        <v>15</v>
      </c>
      <c r="G131" s="28" t="s">
        <v>315</v>
      </c>
      <c r="H131" s="29">
        <f t="shared" si="0"/>
        <v>8.1249999999999933E-2</v>
      </c>
      <c r="I131" s="30">
        <v>0.58333333333333337</v>
      </c>
      <c r="J131" s="30">
        <v>0.6645833333333333</v>
      </c>
    </row>
    <row r="132" spans="1:12" ht="25.2" x14ac:dyDescent="0.2">
      <c r="A132" s="22">
        <v>46107</v>
      </c>
      <c r="B132" s="22" t="s">
        <v>20</v>
      </c>
      <c r="C132" s="27" t="s">
        <v>132</v>
      </c>
      <c r="D132" s="27"/>
      <c r="E132" s="27" t="s">
        <v>62</v>
      </c>
      <c r="F132" s="27" t="s">
        <v>15</v>
      </c>
      <c r="G132" s="28" t="s">
        <v>267</v>
      </c>
      <c r="H132" s="29">
        <f t="shared" si="0"/>
        <v>5.0000000000000044E-2</v>
      </c>
      <c r="I132" s="30">
        <v>0.66666666666666663</v>
      </c>
      <c r="J132" s="30">
        <v>0.71666666666666667</v>
      </c>
    </row>
    <row r="133" spans="1:12" ht="25.2" x14ac:dyDescent="0.2">
      <c r="A133" s="22">
        <v>46108</v>
      </c>
      <c r="B133" s="22" t="s">
        <v>11</v>
      </c>
      <c r="C133" s="27" t="s">
        <v>132</v>
      </c>
      <c r="D133" s="27"/>
      <c r="E133" s="27" t="s">
        <v>62</v>
      </c>
      <c r="F133" s="27" t="s">
        <v>15</v>
      </c>
      <c r="G133" s="28" t="s">
        <v>298</v>
      </c>
      <c r="H133" s="29">
        <f t="shared" si="0"/>
        <v>1.5972222222222221E-2</v>
      </c>
      <c r="I133" s="30">
        <v>0.33333333333333331</v>
      </c>
      <c r="J133" s="30">
        <v>0.34930555555555554</v>
      </c>
    </row>
    <row r="134" spans="1:12" x14ac:dyDescent="0.2">
      <c r="A134" s="22">
        <v>46108</v>
      </c>
      <c r="B134" s="22" t="s">
        <v>11</v>
      </c>
      <c r="C134" s="27" t="s">
        <v>132</v>
      </c>
      <c r="D134" s="27"/>
      <c r="E134" s="27" t="s">
        <v>33</v>
      </c>
      <c r="F134" s="27" t="s">
        <v>15</v>
      </c>
      <c r="G134" s="28" t="s">
        <v>316</v>
      </c>
      <c r="H134" s="29">
        <f t="shared" si="0"/>
        <v>5.3472222222222254E-2</v>
      </c>
      <c r="I134" s="30">
        <v>0.34930555555555554</v>
      </c>
      <c r="J134" s="30">
        <v>0.40277777777777779</v>
      </c>
    </row>
    <row r="135" spans="1:12" ht="25.2" x14ac:dyDescent="0.2">
      <c r="A135" s="22">
        <v>46108</v>
      </c>
      <c r="B135" s="22" t="s">
        <v>11</v>
      </c>
      <c r="C135" s="27" t="s">
        <v>132</v>
      </c>
      <c r="D135" s="27"/>
      <c r="E135" s="27" t="s">
        <v>62</v>
      </c>
      <c r="F135" s="27" t="s">
        <v>15</v>
      </c>
      <c r="G135" s="28" t="s">
        <v>324</v>
      </c>
      <c r="H135" s="29">
        <f t="shared" si="0"/>
        <v>3.2638888888888884E-2</v>
      </c>
      <c r="I135" s="30">
        <v>0.40277777777777779</v>
      </c>
      <c r="J135" s="30">
        <v>0.43541666666666667</v>
      </c>
    </row>
    <row r="136" spans="1:12" ht="25.2" x14ac:dyDescent="0.2">
      <c r="A136" s="22">
        <v>46108</v>
      </c>
      <c r="B136" s="22" t="s">
        <v>11</v>
      </c>
      <c r="C136" s="27" t="s">
        <v>132</v>
      </c>
      <c r="D136" s="27"/>
      <c r="E136" s="27" t="s">
        <v>33</v>
      </c>
      <c r="F136" s="27" t="s">
        <v>15</v>
      </c>
      <c r="G136" s="28" t="s">
        <v>318</v>
      </c>
      <c r="H136" s="29">
        <f t="shared" si="0"/>
        <v>2.2916666666666641E-2</v>
      </c>
      <c r="I136" s="30">
        <v>0.43541666666666667</v>
      </c>
      <c r="J136" s="30">
        <v>0.45833333333333331</v>
      </c>
      <c r="L136" s="64"/>
    </row>
    <row r="137" spans="1:12" ht="25.2" x14ac:dyDescent="0.2">
      <c r="A137" s="22">
        <v>46108</v>
      </c>
      <c r="B137" s="22" t="s">
        <v>11</v>
      </c>
      <c r="C137" s="27" t="s">
        <v>132</v>
      </c>
      <c r="D137" s="27"/>
      <c r="E137" s="27" t="s">
        <v>62</v>
      </c>
      <c r="F137" s="27"/>
      <c r="G137" s="28" t="s">
        <v>319</v>
      </c>
      <c r="H137" s="29">
        <f t="shared" si="0"/>
        <v>3.125E-2</v>
      </c>
      <c r="I137" s="30">
        <v>0.45833333333333331</v>
      </c>
      <c r="J137" s="30">
        <v>0.48958333333333331</v>
      </c>
      <c r="L137" s="64"/>
    </row>
    <row r="138" spans="1:12" ht="25.2" x14ac:dyDescent="0.2">
      <c r="A138" s="22">
        <v>46108</v>
      </c>
      <c r="B138" s="22" t="s">
        <v>11</v>
      </c>
      <c r="C138" s="27" t="s">
        <v>132</v>
      </c>
      <c r="D138" s="27"/>
      <c r="E138" s="27" t="s">
        <v>33</v>
      </c>
      <c r="F138" s="27" t="s">
        <v>15</v>
      </c>
      <c r="G138" s="28" t="s">
        <v>320</v>
      </c>
      <c r="H138" s="29">
        <f t="shared" si="0"/>
        <v>3.6111111111111149E-2</v>
      </c>
      <c r="I138" s="30">
        <v>0.48958333333333331</v>
      </c>
      <c r="J138" s="30">
        <v>0.52569444444444446</v>
      </c>
    </row>
    <row r="139" spans="1:12" ht="25.2" x14ac:dyDescent="0.2">
      <c r="A139" s="22">
        <v>46108</v>
      </c>
      <c r="B139" s="22" t="s">
        <v>11</v>
      </c>
      <c r="C139" s="27" t="s">
        <v>132</v>
      </c>
      <c r="D139" s="27"/>
      <c r="E139" s="27" t="s">
        <v>33</v>
      </c>
      <c r="F139" s="27" t="s">
        <v>15</v>
      </c>
      <c r="G139" s="28" t="s">
        <v>322</v>
      </c>
      <c r="H139" s="29">
        <f t="shared" si="0"/>
        <v>0.10416666666666663</v>
      </c>
      <c r="I139" s="30">
        <v>0.5625</v>
      </c>
      <c r="J139" s="30">
        <v>0.66666666666666663</v>
      </c>
    </row>
    <row r="140" spans="1:12" ht="25.2" x14ac:dyDescent="0.2">
      <c r="A140" s="22">
        <v>46108</v>
      </c>
      <c r="B140" s="22" t="s">
        <v>11</v>
      </c>
      <c r="C140" s="27" t="s">
        <v>132</v>
      </c>
      <c r="D140" s="27"/>
      <c r="E140" s="27" t="s">
        <v>62</v>
      </c>
      <c r="F140" s="27" t="s">
        <v>15</v>
      </c>
      <c r="G140" s="28" t="s">
        <v>321</v>
      </c>
      <c r="H140" s="29">
        <f t="shared" si="0"/>
        <v>6.3194444444444442E-2</v>
      </c>
      <c r="I140" s="30">
        <v>0.66666666666666663</v>
      </c>
      <c r="J140" s="30">
        <v>0.72986111111111107</v>
      </c>
      <c r="L140" s="64"/>
    </row>
    <row r="141" spans="1:12" x14ac:dyDescent="0.2">
      <c r="A141" s="31">
        <v>46109</v>
      </c>
      <c r="B141" s="31" t="s">
        <v>14</v>
      </c>
      <c r="C141" s="32"/>
      <c r="D141" s="32"/>
      <c r="E141" s="32"/>
      <c r="F141" s="32"/>
      <c r="G141" s="33"/>
      <c r="H141" s="34">
        <f t="shared" si="0"/>
        <v>0</v>
      </c>
      <c r="I141" s="35"/>
      <c r="J141" s="35"/>
    </row>
    <row r="142" spans="1:12" x14ac:dyDescent="0.2">
      <c r="A142" s="31">
        <v>46110</v>
      </c>
      <c r="B142" s="31" t="s">
        <v>16</v>
      </c>
      <c r="C142" s="32"/>
      <c r="D142" s="32"/>
      <c r="E142" s="32"/>
      <c r="F142" s="32"/>
      <c r="G142" s="33"/>
      <c r="H142" s="34">
        <f t="shared" si="0"/>
        <v>0</v>
      </c>
      <c r="I142" s="35"/>
      <c r="J142" s="35"/>
    </row>
    <row r="143" spans="1:12" ht="25.2" x14ac:dyDescent="0.2">
      <c r="A143" s="22">
        <v>46111</v>
      </c>
      <c r="B143" s="22" t="s">
        <v>17</v>
      </c>
      <c r="C143" s="27" t="s">
        <v>132</v>
      </c>
      <c r="D143" s="27"/>
      <c r="E143" s="27" t="s">
        <v>62</v>
      </c>
      <c r="F143" s="27" t="s">
        <v>15</v>
      </c>
      <c r="G143" s="28" t="s">
        <v>298</v>
      </c>
      <c r="H143" s="29">
        <f t="shared" si="0"/>
        <v>1.5972222222222221E-2</v>
      </c>
      <c r="I143" s="30">
        <v>0.33333333333333331</v>
      </c>
      <c r="J143" s="30">
        <v>0.34930555555555554</v>
      </c>
    </row>
    <row r="144" spans="1:12" ht="25.2" x14ac:dyDescent="0.2">
      <c r="A144" s="22">
        <v>46111</v>
      </c>
      <c r="B144" s="22" t="s">
        <v>17</v>
      </c>
      <c r="C144" s="27" t="s">
        <v>132</v>
      </c>
      <c r="D144" s="27"/>
      <c r="E144" s="27" t="s">
        <v>33</v>
      </c>
      <c r="F144" s="27" t="s">
        <v>15</v>
      </c>
      <c r="G144" s="28" t="s">
        <v>325</v>
      </c>
      <c r="H144" s="29">
        <f t="shared" si="0"/>
        <v>0.10902777777777778</v>
      </c>
      <c r="I144" s="30">
        <v>0.34930555555555554</v>
      </c>
      <c r="J144" s="30">
        <v>0.45833333333333331</v>
      </c>
    </row>
    <row r="145" spans="1:12" ht="25.2" x14ac:dyDescent="0.2">
      <c r="A145" s="22">
        <v>46111</v>
      </c>
      <c r="B145" s="22" t="s">
        <v>17</v>
      </c>
      <c r="C145" s="27" t="s">
        <v>132</v>
      </c>
      <c r="D145" s="27"/>
      <c r="E145" s="27" t="s">
        <v>62</v>
      </c>
      <c r="F145" s="27" t="s">
        <v>15</v>
      </c>
      <c r="G145" s="28" t="s">
        <v>298</v>
      </c>
      <c r="H145" s="29">
        <f t="shared" si="0"/>
        <v>2.5000000000000022E-2</v>
      </c>
      <c r="I145" s="30">
        <v>0.45833333333333331</v>
      </c>
      <c r="J145" s="30">
        <v>0.48333333333333334</v>
      </c>
      <c r="L145" s="64"/>
    </row>
    <row r="146" spans="1:12" ht="25.2" x14ac:dyDescent="0.2">
      <c r="A146" s="22">
        <v>46111</v>
      </c>
      <c r="B146" s="22" t="s">
        <v>17</v>
      </c>
      <c r="C146" s="27" t="s">
        <v>132</v>
      </c>
      <c r="D146" s="27"/>
      <c r="E146" s="27" t="s">
        <v>33</v>
      </c>
      <c r="F146" s="27" t="s">
        <v>15</v>
      </c>
      <c r="G146" s="28" t="s">
        <v>325</v>
      </c>
      <c r="H146" s="29">
        <f t="shared" si="0"/>
        <v>2.0138888888888873E-2</v>
      </c>
      <c r="I146" s="30">
        <v>0.48333333333333334</v>
      </c>
      <c r="J146" s="30">
        <v>0.50347222222222221</v>
      </c>
    </row>
    <row r="147" spans="1:12" ht="25.2" x14ac:dyDescent="0.2">
      <c r="A147" s="22">
        <v>46111</v>
      </c>
      <c r="B147" s="22" t="s">
        <v>17</v>
      </c>
      <c r="C147" s="27" t="s">
        <v>132</v>
      </c>
      <c r="D147" s="27"/>
      <c r="E147" s="27" t="s">
        <v>33</v>
      </c>
      <c r="F147" s="27" t="s">
        <v>15</v>
      </c>
      <c r="G147" s="28" t="s">
        <v>325</v>
      </c>
      <c r="H147" s="29">
        <f t="shared" si="0"/>
        <v>0.12638888888888888</v>
      </c>
      <c r="I147" s="30">
        <v>0.54027777777777775</v>
      </c>
      <c r="J147" s="30">
        <v>0.66666666666666663</v>
      </c>
    </row>
    <row r="148" spans="1:12" ht="25.2" x14ac:dyDescent="0.2">
      <c r="A148" s="22">
        <v>46111</v>
      </c>
      <c r="B148" s="22" t="s">
        <v>17</v>
      </c>
      <c r="C148" s="27" t="s">
        <v>132</v>
      </c>
      <c r="D148" s="27"/>
      <c r="E148" s="27" t="s">
        <v>62</v>
      </c>
      <c r="F148" s="27" t="s">
        <v>15</v>
      </c>
      <c r="G148" s="28" t="s">
        <v>267</v>
      </c>
      <c r="H148" s="29">
        <f t="shared" si="0"/>
        <v>1.8055555555555602E-2</v>
      </c>
      <c r="I148" s="30">
        <v>0.66666666666666663</v>
      </c>
      <c r="J148" s="30">
        <v>0.68472222222222223</v>
      </c>
    </row>
    <row r="149" spans="1:12" ht="25.2" x14ac:dyDescent="0.2">
      <c r="A149" s="22">
        <v>46111</v>
      </c>
      <c r="B149" s="22" t="s">
        <v>17</v>
      </c>
      <c r="C149" s="27" t="s">
        <v>132</v>
      </c>
      <c r="D149" s="27"/>
      <c r="E149" s="27" t="s">
        <v>33</v>
      </c>
      <c r="F149" s="27" t="s">
        <v>15</v>
      </c>
      <c r="G149" s="28" t="s">
        <v>325</v>
      </c>
      <c r="H149" s="29">
        <f t="shared" si="0"/>
        <v>4.7916666666666607E-2</v>
      </c>
      <c r="I149" s="30">
        <v>0.68472222222222223</v>
      </c>
      <c r="J149" s="30">
        <v>0.73263888888888884</v>
      </c>
    </row>
    <row r="150" spans="1:12" ht="25.2" x14ac:dyDescent="0.2">
      <c r="A150" s="22">
        <v>46112</v>
      </c>
      <c r="B150" s="22" t="s">
        <v>18</v>
      </c>
      <c r="C150" s="27" t="s">
        <v>132</v>
      </c>
      <c r="D150" s="27"/>
      <c r="E150" s="27" t="s">
        <v>62</v>
      </c>
      <c r="F150" s="27" t="s">
        <v>15</v>
      </c>
      <c r="G150" s="28" t="s">
        <v>298</v>
      </c>
      <c r="H150" s="29">
        <f t="shared" si="0"/>
        <v>6.9444444444444198E-3</v>
      </c>
      <c r="I150" s="30">
        <v>0.34027777777777779</v>
      </c>
      <c r="J150" s="30">
        <v>0.34722222222222221</v>
      </c>
      <c r="L150" s="64"/>
    </row>
    <row r="151" spans="1:12" ht="25.2" x14ac:dyDescent="0.2">
      <c r="A151" s="22">
        <v>46112</v>
      </c>
      <c r="B151" s="22" t="s">
        <v>18</v>
      </c>
      <c r="C151" s="27" t="s">
        <v>132</v>
      </c>
      <c r="D151" s="27"/>
      <c r="E151" s="27" t="s">
        <v>33</v>
      </c>
      <c r="F151" s="27" t="s">
        <v>15</v>
      </c>
      <c r="G151" s="148" t="s">
        <v>325</v>
      </c>
      <c r="H151" s="29">
        <f t="shared" si="0"/>
        <v>0.1111111111111111</v>
      </c>
      <c r="I151" s="30">
        <v>0.34722222222222221</v>
      </c>
      <c r="J151" s="30">
        <v>0.45833333333333331</v>
      </c>
    </row>
    <row r="152" spans="1:12" ht="25.2" x14ac:dyDescent="0.2">
      <c r="A152" s="22">
        <v>46112</v>
      </c>
      <c r="B152" s="22" t="s">
        <v>18</v>
      </c>
      <c r="C152" s="27" t="s">
        <v>132</v>
      </c>
      <c r="D152" s="27"/>
      <c r="E152" s="27" t="s">
        <v>62</v>
      </c>
      <c r="F152" s="27" t="s">
        <v>15</v>
      </c>
      <c r="G152" s="28" t="s">
        <v>298</v>
      </c>
      <c r="H152" s="29">
        <f t="shared" si="0"/>
        <v>2.8472222222222232E-2</v>
      </c>
      <c r="I152" s="30">
        <v>0.45833333333333331</v>
      </c>
      <c r="J152" s="30">
        <v>0.48680555555555555</v>
      </c>
    </row>
    <row r="153" spans="1:12" ht="25.2" x14ac:dyDescent="0.2">
      <c r="A153" s="22">
        <v>46112</v>
      </c>
      <c r="B153" s="22" t="s">
        <v>18</v>
      </c>
      <c r="C153" s="27" t="s">
        <v>132</v>
      </c>
      <c r="D153" s="27"/>
      <c r="E153" s="27" t="s">
        <v>33</v>
      </c>
      <c r="F153" s="27" t="s">
        <v>15</v>
      </c>
      <c r="G153" s="28" t="s">
        <v>325</v>
      </c>
      <c r="H153" s="29">
        <f t="shared" si="0"/>
        <v>2.0138888888888873E-2</v>
      </c>
      <c r="I153" s="30">
        <v>0.48680555555555555</v>
      </c>
      <c r="J153" s="30">
        <v>0.50694444444444442</v>
      </c>
      <c r="L153" s="64"/>
    </row>
    <row r="154" spans="1:12" ht="25.2" x14ac:dyDescent="0.2">
      <c r="A154" s="22">
        <v>46112</v>
      </c>
      <c r="B154" s="22" t="s">
        <v>18</v>
      </c>
      <c r="C154" s="27" t="s">
        <v>132</v>
      </c>
      <c r="D154" s="27"/>
      <c r="E154" s="27" t="s">
        <v>33</v>
      </c>
      <c r="F154" s="27" t="s">
        <v>15</v>
      </c>
      <c r="G154" s="28" t="s">
        <v>325</v>
      </c>
      <c r="H154" s="29">
        <f t="shared" si="0"/>
        <v>9.2361111111111116E-2</v>
      </c>
      <c r="I154" s="30">
        <v>0.57430555555555551</v>
      </c>
      <c r="J154" s="30">
        <v>0.66666666666666663</v>
      </c>
      <c r="L154" s="64"/>
    </row>
    <row r="155" spans="1:12" ht="25.2" x14ac:dyDescent="0.2">
      <c r="A155" s="22">
        <v>46112</v>
      </c>
      <c r="B155" s="22" t="s">
        <v>18</v>
      </c>
      <c r="C155" s="27" t="s">
        <v>132</v>
      </c>
      <c r="D155" s="27"/>
      <c r="E155" s="27" t="s">
        <v>62</v>
      </c>
      <c r="F155" s="27" t="s">
        <v>15</v>
      </c>
      <c r="G155" s="28" t="s">
        <v>267</v>
      </c>
      <c r="H155" s="29">
        <f t="shared" si="0"/>
        <v>4.5138888888888951E-2</v>
      </c>
      <c r="I155" s="30">
        <v>0.66666666666666663</v>
      </c>
      <c r="J155" s="30">
        <v>0.71180555555555558</v>
      </c>
    </row>
    <row r="156" spans="1:12" ht="13.95" customHeight="1" x14ac:dyDescent="0.2">
      <c r="A156" s="22">
        <v>46112</v>
      </c>
      <c r="B156" s="22" t="s">
        <v>18</v>
      </c>
      <c r="C156" s="27" t="s">
        <v>132</v>
      </c>
      <c r="D156" s="27"/>
      <c r="E156" s="27" t="s">
        <v>33</v>
      </c>
      <c r="F156" s="27" t="s">
        <v>15</v>
      </c>
      <c r="G156" s="28" t="s">
        <v>325</v>
      </c>
      <c r="H156" s="29">
        <f>J156-I156</f>
        <v>2.430555555555558E-2</v>
      </c>
      <c r="I156" s="30">
        <v>0.71180555555555558</v>
      </c>
      <c r="J156" s="30">
        <v>0.73611111111111116</v>
      </c>
    </row>
    <row r="157" spans="1:12" ht="13.95" customHeight="1" thickBot="1" x14ac:dyDescent="0.3">
      <c r="A157" s="46"/>
      <c r="B157" s="46"/>
      <c r="C157" s="45"/>
      <c r="D157" s="45"/>
      <c r="E157" s="45"/>
      <c r="F157" s="45"/>
      <c r="G157" s="45"/>
      <c r="H157" s="36"/>
      <c r="I157" s="37"/>
    </row>
    <row r="158" spans="1:12" ht="13.95" customHeight="1" x14ac:dyDescent="0.25">
      <c r="A158" s="4"/>
      <c r="B158" s="4"/>
      <c r="C158" s="5"/>
      <c r="D158" s="6"/>
      <c r="E158" s="7" t="s">
        <v>21</v>
      </c>
      <c r="F158" s="8">
        <f>F159*8</f>
        <v>176</v>
      </c>
      <c r="H158" s="40"/>
    </row>
    <row r="159" spans="1:12" ht="13.95" customHeight="1" thickBot="1" x14ac:dyDescent="0.3">
      <c r="A159" s="4"/>
      <c r="B159" s="4"/>
      <c r="C159" s="9"/>
      <c r="D159" s="2"/>
      <c r="E159" s="10" t="s">
        <v>22</v>
      </c>
      <c r="F159" s="11">
        <v>22</v>
      </c>
      <c r="H159" s="40"/>
    </row>
    <row r="160" spans="1:12" ht="13.95" customHeight="1" thickBot="1" x14ac:dyDescent="0.3">
      <c r="A160" s="116" t="s">
        <v>23</v>
      </c>
      <c r="B160" s="116"/>
      <c r="C160" s="116"/>
      <c r="D160" s="12"/>
      <c r="E160" s="2"/>
      <c r="F160" s="2"/>
      <c r="H160" s="40"/>
    </row>
    <row r="161" spans="1:8" ht="13.8" x14ac:dyDescent="0.25">
      <c r="A161" s="13"/>
      <c r="B161" s="13"/>
      <c r="C161" s="6"/>
      <c r="D161" s="6"/>
      <c r="E161" s="14" t="s">
        <v>24</v>
      </c>
      <c r="F161" s="15">
        <f>SUMIF(F9:F156,"Billable",H9:H156)</f>
        <v>0</v>
      </c>
      <c r="H161" s="38"/>
    </row>
    <row r="162" spans="1:8" ht="15" customHeight="1" thickBot="1" x14ac:dyDescent="0.3">
      <c r="A162" s="117" t="s">
        <v>25</v>
      </c>
      <c r="B162" s="117"/>
      <c r="C162" s="117"/>
      <c r="D162" s="16"/>
      <c r="E162" s="17" t="s">
        <v>26</v>
      </c>
      <c r="F162" s="18">
        <f>SUMIF(F9:F156,"Non-Billable",H9:H156)</f>
        <v>7.9354166666666641</v>
      </c>
      <c r="H162" s="40"/>
    </row>
    <row r="163" spans="1:8" ht="14.4" thickBot="1" x14ac:dyDescent="0.3">
      <c r="A163" s="2"/>
      <c r="B163" s="2"/>
      <c r="C163" s="2"/>
      <c r="D163" s="2"/>
      <c r="E163" s="19" t="s">
        <v>27</v>
      </c>
      <c r="F163" s="44">
        <f>F161+F162</f>
        <v>7.9354166666666641</v>
      </c>
      <c r="H163" s="40"/>
    </row>
    <row r="164" spans="1:8" ht="13.8" thickBot="1" x14ac:dyDescent="0.3">
      <c r="A164" s="2"/>
      <c r="B164" s="2"/>
      <c r="C164" s="2"/>
      <c r="D164" s="2"/>
      <c r="E164" s="2"/>
      <c r="F164" s="2"/>
      <c r="H164" s="40"/>
    </row>
    <row r="165" spans="1:8" ht="13.8" thickBot="1" x14ac:dyDescent="0.3">
      <c r="A165" s="2"/>
      <c r="B165" s="2"/>
      <c r="C165" s="2"/>
      <c r="D165" s="2"/>
      <c r="E165" s="20" t="s">
        <v>28</v>
      </c>
      <c r="F165" s="21"/>
      <c r="H165" s="40"/>
    </row>
    <row r="166" spans="1:8" ht="13.2" thickBot="1" x14ac:dyDescent="0.25">
      <c r="E166" s="39"/>
      <c r="H166" s="40"/>
    </row>
  </sheetData>
  <mergeCells count="2">
    <mergeCell ref="A160:C160"/>
    <mergeCell ref="A162:C162"/>
  </mergeCells>
  <phoneticPr fontId="10" type="noConversion"/>
  <conditionalFormatting sqref="A6:B6 D6:E7 D157:E158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66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60:E162 E165">
    <cfRule type="containsText" dxfId="6" priority="1" operator="containsText" text="Religious Leave">
      <formula>NOT(ISERROR(SEARCH("Religious Leave",D160)))</formula>
    </cfRule>
    <cfRule type="containsText" dxfId="5" priority="2" operator="containsText" text="Birthday Leave">
      <formula>NOT(ISERROR(SEARCH("Birthday Leave",D160)))</formula>
    </cfRule>
    <cfRule type="containsText" dxfId="4" priority="3" operator="containsText" text="Study Leave">
      <formula>NOT(ISERROR(SEARCH("Study Leave",D160)))</formula>
    </cfRule>
    <cfRule type="containsText" dxfId="3" priority="4" operator="containsText" text="Family Responsibility Leave">
      <formula>NOT(ISERROR(SEARCH("Family Responsibility Leave",D160)))</formula>
    </cfRule>
    <cfRule type="containsText" dxfId="2" priority="5" operator="containsText" text="Sick Leave">
      <formula>NOT(ISERROR(SEARCH("Sick Leave",D160)))</formula>
    </cfRule>
    <cfRule type="containsText" dxfId="1" priority="6" operator="containsText" text="Annual Leave">
      <formula>NOT(ISERROR(SEARCH("Annual Leave",D160)))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6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F9:F156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C9:C156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E1" sqref="E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2</v>
      </c>
      <c r="B5" s="23" t="s">
        <v>246</v>
      </c>
      <c r="C5" s="87"/>
      <c r="D5" s="87"/>
      <c r="E5" s="87"/>
      <c r="F5" s="87"/>
    </row>
    <row r="6" spans="1:15" x14ac:dyDescent="0.2">
      <c r="A6" s="80" t="s">
        <v>182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26" t="s">
        <v>183</v>
      </c>
      <c r="B8" s="126"/>
      <c r="C8" s="126"/>
      <c r="D8" s="126"/>
      <c r="E8" s="126"/>
      <c r="F8" s="126"/>
    </row>
    <row r="9" spans="1:15" ht="13.5" customHeight="1" thickBot="1" x14ac:dyDescent="0.25">
      <c r="A9" s="83" t="s">
        <v>187</v>
      </c>
      <c r="B9" s="129" t="s">
        <v>184</v>
      </c>
      <c r="C9" s="130"/>
      <c r="D9" s="129" t="s">
        <v>93</v>
      </c>
      <c r="E9" s="130"/>
      <c r="F9" s="84" t="s">
        <v>94</v>
      </c>
    </row>
    <row r="10" spans="1:15" x14ac:dyDescent="0.2">
      <c r="A10" s="79"/>
      <c r="B10" s="120" t="s">
        <v>185</v>
      </c>
      <c r="C10" s="120"/>
      <c r="D10" s="120" t="s">
        <v>130</v>
      </c>
      <c r="E10" s="120"/>
      <c r="F10" s="78">
        <v>200</v>
      </c>
      <c r="G10" s="127" t="s">
        <v>186</v>
      </c>
      <c r="H10" s="128"/>
      <c r="I10" s="128"/>
      <c r="J10" s="128"/>
      <c r="K10" s="128"/>
      <c r="L10" s="128"/>
      <c r="M10" s="128"/>
      <c r="N10" s="128"/>
      <c r="O10" s="128"/>
    </row>
    <row r="11" spans="1:15" x14ac:dyDescent="0.2">
      <c r="A11" s="79"/>
      <c r="B11" s="118" t="s">
        <v>188</v>
      </c>
      <c r="C11" s="119"/>
      <c r="D11" s="120" t="s">
        <v>136</v>
      </c>
      <c r="E11" s="120"/>
      <c r="F11" s="78"/>
    </row>
    <row r="12" spans="1:15" x14ac:dyDescent="0.2">
      <c r="A12" s="79"/>
      <c r="B12" s="118" t="s">
        <v>189</v>
      </c>
      <c r="C12" s="119"/>
      <c r="D12" s="120"/>
      <c r="E12" s="120"/>
      <c r="F12" s="78"/>
    </row>
    <row r="13" spans="1:15" x14ac:dyDescent="0.2">
      <c r="A13" s="79"/>
      <c r="B13" s="118"/>
      <c r="C13" s="119"/>
      <c r="D13" s="120"/>
      <c r="E13" s="120"/>
      <c r="F13" s="78"/>
    </row>
    <row r="14" spans="1:15" x14ac:dyDescent="0.2">
      <c r="A14" s="79"/>
      <c r="B14" s="118"/>
      <c r="C14" s="119"/>
      <c r="D14" s="120"/>
      <c r="E14" s="120"/>
      <c r="F14" s="78"/>
    </row>
    <row r="15" spans="1:15" x14ac:dyDescent="0.2">
      <c r="A15" s="79"/>
      <c r="B15" s="124"/>
      <c r="C15" s="125"/>
      <c r="D15" s="120"/>
      <c r="E15" s="120"/>
      <c r="F15" s="78"/>
    </row>
    <row r="16" spans="1:15" ht="13.2" thickBot="1" x14ac:dyDescent="0.25">
      <c r="A16" s="79"/>
      <c r="B16" s="118"/>
      <c r="C16" s="119"/>
      <c r="D16" s="120"/>
      <c r="E16" s="120"/>
      <c r="F16" s="78"/>
    </row>
    <row r="17" spans="1:6" ht="13.5" customHeight="1" thickBot="1" x14ac:dyDescent="0.25">
      <c r="A17" s="121" t="s">
        <v>95</v>
      </c>
      <c r="B17" s="122"/>
      <c r="C17" s="122"/>
      <c r="D17" s="122"/>
      <c r="E17" s="123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1"/>
      <c r="B4" s="131"/>
    </row>
    <row r="5" spans="1:6" x14ac:dyDescent="0.2">
      <c r="A5" s="37" t="s">
        <v>2</v>
      </c>
      <c r="B5" s="23" t="s">
        <v>246</v>
      </c>
    </row>
    <row r="6" spans="1:6" x14ac:dyDescent="0.2">
      <c r="A6" s="80" t="s">
        <v>191</v>
      </c>
      <c r="B6" s="80"/>
    </row>
    <row r="7" spans="1:6" x14ac:dyDescent="0.2">
      <c r="A7" s="96" t="s">
        <v>192</v>
      </c>
      <c r="B7" s="96"/>
    </row>
    <row r="8" spans="1:6" x14ac:dyDescent="0.2">
      <c r="A8" s="97"/>
      <c r="B8" s="86"/>
    </row>
    <row r="9" spans="1:6" ht="27.45" customHeight="1" x14ac:dyDescent="0.2">
      <c r="A9" s="144" t="s">
        <v>190</v>
      </c>
      <c r="B9" s="144"/>
      <c r="C9" s="144"/>
      <c r="D9" s="144"/>
      <c r="E9" s="144"/>
      <c r="F9" s="144"/>
    </row>
    <row r="10" spans="1:6" ht="25.2" x14ac:dyDescent="0.2">
      <c r="A10" s="88" t="s">
        <v>96</v>
      </c>
      <c r="B10" s="88" t="s">
        <v>97</v>
      </c>
      <c r="C10" s="88" t="s">
        <v>98</v>
      </c>
      <c r="D10" s="88" t="s">
        <v>99</v>
      </c>
      <c r="E10" s="88" t="s">
        <v>100</v>
      </c>
      <c r="F10" s="88" t="s">
        <v>101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5"/>
      <c r="B15" s="136"/>
      <c r="C15" s="136"/>
      <c r="D15" s="136"/>
      <c r="E15" s="136"/>
      <c r="F15" s="136"/>
    </row>
    <row r="16" spans="1:6" x14ac:dyDescent="0.2">
      <c r="A16" s="145" t="s">
        <v>102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2" thickBot="1" x14ac:dyDescent="0.25">
      <c r="A19" s="135"/>
      <c r="B19" s="136"/>
      <c r="C19" s="136"/>
      <c r="D19" s="136"/>
      <c r="E19" s="136"/>
      <c r="F19" s="137"/>
    </row>
    <row r="20" spans="1:6" ht="13.2" thickBot="1" x14ac:dyDescent="0.25"/>
    <row r="21" spans="1:6" x14ac:dyDescent="0.2">
      <c r="A21" s="93" t="s">
        <v>0</v>
      </c>
      <c r="B21" s="138"/>
      <c r="C21" s="138"/>
      <c r="D21" s="138"/>
      <c r="E21" s="138"/>
      <c r="F21" s="139"/>
    </row>
    <row r="22" spans="1:6" x14ac:dyDescent="0.2">
      <c r="A22" s="94" t="s">
        <v>103</v>
      </c>
      <c r="B22" s="140"/>
      <c r="C22" s="140"/>
      <c r="D22" s="140"/>
      <c r="E22" s="140"/>
      <c r="F22" s="141"/>
    </row>
    <row r="23" spans="1:6" ht="13.2" thickBot="1" x14ac:dyDescent="0.25">
      <c r="A23" s="95" t="s">
        <v>104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8"/>
  <sheetViews>
    <sheetView workbookViewId="0">
      <selection activeCell="F46" sqref="F4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132</v>
      </c>
      <c r="D2" s="53" t="s">
        <v>119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120</v>
      </c>
      <c r="D3" s="72" t="s">
        <v>30</v>
      </c>
      <c r="F3" s="55" t="s">
        <v>31</v>
      </c>
      <c r="H3" s="98" t="s">
        <v>245</v>
      </c>
      <c r="J3" s="56" t="s">
        <v>15</v>
      </c>
    </row>
    <row r="4" spans="2:10" x14ac:dyDescent="0.3">
      <c r="B4" s="66" t="s">
        <v>133</v>
      </c>
      <c r="D4" s="54" t="s">
        <v>32</v>
      </c>
      <c r="F4" s="57" t="s">
        <v>33</v>
      </c>
      <c r="H4" s="68" t="s">
        <v>116</v>
      </c>
      <c r="J4" s="58" t="s">
        <v>13</v>
      </c>
    </row>
    <row r="5" spans="2:10" x14ac:dyDescent="0.3">
      <c r="B5" s="66" t="s">
        <v>134</v>
      </c>
      <c r="D5" s="72" t="s">
        <v>35</v>
      </c>
      <c r="F5" s="59" t="s">
        <v>36</v>
      </c>
      <c r="H5" s="99" t="s">
        <v>194</v>
      </c>
    </row>
    <row r="6" spans="2:10" x14ac:dyDescent="0.3">
      <c r="B6" s="66" t="s">
        <v>135</v>
      </c>
      <c r="D6" s="54" t="s">
        <v>38</v>
      </c>
      <c r="F6" s="57" t="s">
        <v>39</v>
      </c>
      <c r="H6" s="100" t="s">
        <v>82</v>
      </c>
    </row>
    <row r="7" spans="2:10" x14ac:dyDescent="0.3">
      <c r="B7" s="66" t="s">
        <v>121</v>
      </c>
      <c r="D7" s="72" t="s">
        <v>40</v>
      </c>
      <c r="F7" s="59" t="s">
        <v>41</v>
      </c>
      <c r="H7" s="68" t="s">
        <v>77</v>
      </c>
    </row>
    <row r="8" spans="2:10" x14ac:dyDescent="0.3">
      <c r="B8" s="66" t="s">
        <v>137</v>
      </c>
      <c r="D8" s="54" t="s">
        <v>43</v>
      </c>
      <c r="F8" s="57" t="s">
        <v>44</v>
      </c>
      <c r="H8" s="98" t="s">
        <v>47</v>
      </c>
      <c r="J8" s="52" t="s">
        <v>131</v>
      </c>
    </row>
    <row r="9" spans="2:10" x14ac:dyDescent="0.3">
      <c r="B9" s="66" t="s">
        <v>138</v>
      </c>
      <c r="D9" s="72" t="s">
        <v>45</v>
      </c>
      <c r="F9" s="59" t="s">
        <v>46</v>
      </c>
      <c r="H9" s="67" t="s">
        <v>12</v>
      </c>
      <c r="J9" s="52" t="s">
        <v>130</v>
      </c>
    </row>
    <row r="10" spans="2:10" x14ac:dyDescent="0.3">
      <c r="B10" s="66" t="s">
        <v>140</v>
      </c>
      <c r="D10" s="54" t="s">
        <v>48</v>
      </c>
      <c r="F10" s="57" t="s">
        <v>49</v>
      </c>
      <c r="H10" s="101" t="s">
        <v>139</v>
      </c>
    </row>
    <row r="11" spans="2:10" x14ac:dyDescent="0.3">
      <c r="B11" s="66" t="s">
        <v>142</v>
      </c>
      <c r="D11" s="72" t="s">
        <v>50</v>
      </c>
      <c r="F11" s="59" t="s">
        <v>51</v>
      </c>
      <c r="H11" s="68" t="s">
        <v>141</v>
      </c>
      <c r="J11" s="52" t="s">
        <v>125</v>
      </c>
    </row>
    <row r="12" spans="2:10" x14ac:dyDescent="0.3">
      <c r="B12" s="66" t="s">
        <v>143</v>
      </c>
      <c r="F12" s="57" t="s">
        <v>52</v>
      </c>
      <c r="H12" s="102" t="s">
        <v>195</v>
      </c>
      <c r="J12" s="52" t="s">
        <v>126</v>
      </c>
    </row>
    <row r="13" spans="2:10" x14ac:dyDescent="0.3">
      <c r="B13" s="66" t="s">
        <v>145</v>
      </c>
      <c r="F13" s="59" t="s">
        <v>53</v>
      </c>
      <c r="H13" s="102" t="s">
        <v>34</v>
      </c>
    </row>
    <row r="14" spans="2:10" x14ac:dyDescent="0.3">
      <c r="B14" s="66" t="s">
        <v>147</v>
      </c>
      <c r="D14" s="60"/>
      <c r="F14" s="57" t="s">
        <v>54</v>
      </c>
      <c r="H14" s="103" t="s">
        <v>144</v>
      </c>
    </row>
    <row r="15" spans="2:10" x14ac:dyDescent="0.3">
      <c r="B15" s="66" t="s">
        <v>122</v>
      </c>
      <c r="D15" s="61"/>
      <c r="F15" s="59" t="s">
        <v>56</v>
      </c>
      <c r="H15" s="102" t="s">
        <v>146</v>
      </c>
    </row>
    <row r="16" spans="2:10" x14ac:dyDescent="0.3">
      <c r="B16" s="66" t="s">
        <v>57</v>
      </c>
      <c r="D16" s="61"/>
      <c r="F16" s="57" t="s">
        <v>58</v>
      </c>
      <c r="H16" s="104" t="s">
        <v>148</v>
      </c>
    </row>
    <row r="17" spans="2:8" ht="27.6" x14ac:dyDescent="0.3">
      <c r="B17" s="66" t="s">
        <v>150</v>
      </c>
      <c r="D17" s="61"/>
      <c r="F17" s="59" t="s">
        <v>59</v>
      </c>
      <c r="H17" s="102" t="s">
        <v>149</v>
      </c>
    </row>
    <row r="18" spans="2:8" x14ac:dyDescent="0.3">
      <c r="B18" s="66" t="s">
        <v>152</v>
      </c>
      <c r="D18" s="61"/>
      <c r="F18" s="57" t="s">
        <v>60</v>
      </c>
      <c r="H18" s="104" t="s">
        <v>61</v>
      </c>
    </row>
    <row r="19" spans="2:8" x14ac:dyDescent="0.3">
      <c r="B19" s="66" t="s">
        <v>154</v>
      </c>
      <c r="D19" s="61"/>
      <c r="F19" s="59" t="s">
        <v>62</v>
      </c>
      <c r="H19" s="105" t="s">
        <v>151</v>
      </c>
    </row>
    <row r="20" spans="2:8" x14ac:dyDescent="0.3">
      <c r="B20" s="66" t="s">
        <v>155</v>
      </c>
      <c r="D20" s="61"/>
      <c r="F20" s="57" t="s">
        <v>63</v>
      </c>
      <c r="H20" s="103" t="s">
        <v>153</v>
      </c>
    </row>
    <row r="21" spans="2:8" x14ac:dyDescent="0.3">
      <c r="B21" s="66" t="s">
        <v>123</v>
      </c>
      <c r="D21" s="61"/>
      <c r="F21" s="59" t="s">
        <v>64</v>
      </c>
      <c r="H21" s="68" t="s">
        <v>112</v>
      </c>
    </row>
    <row r="22" spans="2:8" x14ac:dyDescent="0.3">
      <c r="B22" s="66" t="s">
        <v>156</v>
      </c>
      <c r="D22" s="61"/>
      <c r="F22" s="57" t="s">
        <v>66</v>
      </c>
      <c r="H22" s="106" t="s">
        <v>196</v>
      </c>
    </row>
    <row r="23" spans="2:8" x14ac:dyDescent="0.3">
      <c r="B23" s="66" t="s">
        <v>157</v>
      </c>
      <c r="D23" s="61"/>
      <c r="F23" s="59" t="s">
        <v>68</v>
      </c>
      <c r="H23" s="107" t="s">
        <v>74</v>
      </c>
    </row>
    <row r="24" spans="2:8" x14ac:dyDescent="0.3">
      <c r="B24" s="66" t="s">
        <v>158</v>
      </c>
      <c r="D24" s="61"/>
      <c r="F24" s="57" t="s">
        <v>69</v>
      </c>
      <c r="H24" s="108" t="s">
        <v>197</v>
      </c>
    </row>
    <row r="25" spans="2:8" x14ac:dyDescent="0.3">
      <c r="B25" s="66" t="s">
        <v>159</v>
      </c>
      <c r="D25" s="61"/>
      <c r="F25" s="59" t="s">
        <v>70</v>
      </c>
      <c r="H25" s="109" t="s">
        <v>107</v>
      </c>
    </row>
    <row r="26" spans="2:8" x14ac:dyDescent="0.3">
      <c r="B26" s="66" t="s">
        <v>161</v>
      </c>
      <c r="F26" s="57" t="s">
        <v>71</v>
      </c>
      <c r="H26" s="70" t="s">
        <v>124</v>
      </c>
    </row>
    <row r="27" spans="2:8" x14ac:dyDescent="0.3">
      <c r="B27" s="66" t="s">
        <v>221</v>
      </c>
      <c r="D27" s="61"/>
      <c r="F27" s="59" t="s">
        <v>72</v>
      </c>
      <c r="H27" s="107" t="s">
        <v>113</v>
      </c>
    </row>
    <row r="28" spans="2:8" x14ac:dyDescent="0.3">
      <c r="B28" s="66" t="s">
        <v>162</v>
      </c>
      <c r="D28" s="61"/>
      <c r="F28" s="57" t="s">
        <v>73</v>
      </c>
      <c r="H28" s="70" t="s">
        <v>117</v>
      </c>
    </row>
    <row r="29" spans="2:8" x14ac:dyDescent="0.3">
      <c r="B29" s="66" t="s">
        <v>163</v>
      </c>
      <c r="F29" s="59" t="s">
        <v>75</v>
      </c>
      <c r="H29" s="110" t="s">
        <v>198</v>
      </c>
    </row>
    <row r="30" spans="2:8" x14ac:dyDescent="0.3">
      <c r="B30" s="66" t="s">
        <v>78</v>
      </c>
      <c r="F30" s="57" t="s">
        <v>76</v>
      </c>
      <c r="H30" s="108" t="s">
        <v>199</v>
      </c>
    </row>
    <row r="31" spans="2:8" x14ac:dyDescent="0.3">
      <c r="B31" s="66" t="s">
        <v>165</v>
      </c>
      <c r="F31" s="59" t="s">
        <v>79</v>
      </c>
      <c r="H31" s="111" t="s">
        <v>227</v>
      </c>
    </row>
    <row r="32" spans="2:8" x14ac:dyDescent="0.3">
      <c r="B32" s="66" t="s">
        <v>83</v>
      </c>
      <c r="F32" s="57" t="s">
        <v>80</v>
      </c>
      <c r="H32" s="109" t="s">
        <v>42</v>
      </c>
    </row>
    <row r="33" spans="2:8" x14ac:dyDescent="0.3">
      <c r="B33" s="66" t="s">
        <v>166</v>
      </c>
      <c r="F33" s="59" t="s">
        <v>81</v>
      </c>
      <c r="H33" s="69" t="s">
        <v>160</v>
      </c>
    </row>
    <row r="34" spans="2:8" x14ac:dyDescent="0.3">
      <c r="B34" s="66" t="s">
        <v>168</v>
      </c>
      <c r="F34" s="57" t="s">
        <v>84</v>
      </c>
      <c r="H34" s="69" t="s">
        <v>200</v>
      </c>
    </row>
    <row r="35" spans="2:8" x14ac:dyDescent="0.3">
      <c r="B35" s="66" t="s">
        <v>169</v>
      </c>
      <c r="F35" s="59" t="s">
        <v>85</v>
      </c>
      <c r="H35" s="110" t="s">
        <v>201</v>
      </c>
    </row>
    <row r="36" spans="2:8" x14ac:dyDescent="0.3">
      <c r="B36" s="66" t="s">
        <v>171</v>
      </c>
      <c r="F36" s="57" t="s">
        <v>87</v>
      </c>
      <c r="H36" s="101" t="s">
        <v>202</v>
      </c>
    </row>
    <row r="37" spans="2:8" x14ac:dyDescent="0.3">
      <c r="B37" s="66" t="s">
        <v>172</v>
      </c>
      <c r="F37" s="57" t="s">
        <v>88</v>
      </c>
      <c r="H37" s="69" t="s">
        <v>65</v>
      </c>
    </row>
    <row r="38" spans="2:8" x14ac:dyDescent="0.3">
      <c r="B38" s="66" t="s">
        <v>90</v>
      </c>
      <c r="F38" s="57" t="s">
        <v>89</v>
      </c>
      <c r="H38" s="108" t="s">
        <v>203</v>
      </c>
    </row>
    <row r="39" spans="2:8" x14ac:dyDescent="0.3">
      <c r="B39" s="52" t="s">
        <v>222</v>
      </c>
      <c r="F39" s="57" t="s">
        <v>224</v>
      </c>
      <c r="H39" s="110" t="s">
        <v>204</v>
      </c>
    </row>
    <row r="40" spans="2:8" x14ac:dyDescent="0.3">
      <c r="B40" s="66" t="s">
        <v>114</v>
      </c>
      <c r="F40" s="115" t="s">
        <v>223</v>
      </c>
      <c r="H40" s="111" t="s">
        <v>164</v>
      </c>
    </row>
    <row r="41" spans="2:8" x14ac:dyDescent="0.3">
      <c r="B41" s="66" t="s">
        <v>174</v>
      </c>
      <c r="D41" s="63"/>
      <c r="F41" s="115" t="s">
        <v>247</v>
      </c>
      <c r="H41" s="70" t="s">
        <v>127</v>
      </c>
    </row>
    <row r="42" spans="2:8" x14ac:dyDescent="0.3">
      <c r="B42" s="66" t="s">
        <v>175</v>
      </c>
      <c r="H42" s="108" t="s">
        <v>205</v>
      </c>
    </row>
    <row r="43" spans="2:8" x14ac:dyDescent="0.3">
      <c r="B43" s="52" t="s">
        <v>226</v>
      </c>
      <c r="H43" s="110" t="s">
        <v>206</v>
      </c>
    </row>
    <row r="44" spans="2:8" ht="27.6" x14ac:dyDescent="0.3">
      <c r="B44" s="62"/>
      <c r="H44" s="108" t="s">
        <v>207</v>
      </c>
    </row>
    <row r="45" spans="2:8" x14ac:dyDescent="0.3">
      <c r="H45" s="69" t="s">
        <v>181</v>
      </c>
    </row>
    <row r="46" spans="2:8" x14ac:dyDescent="0.3">
      <c r="H46" s="112" t="s">
        <v>208</v>
      </c>
    </row>
    <row r="47" spans="2:8" x14ac:dyDescent="0.3">
      <c r="B47" s="62"/>
      <c r="H47" s="111" t="s">
        <v>167</v>
      </c>
    </row>
    <row r="48" spans="2:8" x14ac:dyDescent="0.3">
      <c r="H48" s="113" t="s">
        <v>209</v>
      </c>
    </row>
    <row r="49" spans="8:8" x14ac:dyDescent="0.3">
      <c r="H49" s="99" t="s">
        <v>210</v>
      </c>
    </row>
    <row r="50" spans="8:8" x14ac:dyDescent="0.3">
      <c r="H50" s="106" t="s">
        <v>211</v>
      </c>
    </row>
    <row r="51" spans="8:8" x14ac:dyDescent="0.3">
      <c r="H51" s="110" t="s">
        <v>212</v>
      </c>
    </row>
    <row r="52" spans="8:8" x14ac:dyDescent="0.3">
      <c r="H52" s="70" t="s">
        <v>170</v>
      </c>
    </row>
    <row r="53" spans="8:8" x14ac:dyDescent="0.3">
      <c r="H53" s="70" t="s">
        <v>225</v>
      </c>
    </row>
    <row r="54" spans="8:8" x14ac:dyDescent="0.3">
      <c r="H54" s="111" t="s">
        <v>37</v>
      </c>
    </row>
    <row r="55" spans="8:8" x14ac:dyDescent="0.3">
      <c r="H55" s="70" t="s">
        <v>173</v>
      </c>
    </row>
    <row r="56" spans="8:8" x14ac:dyDescent="0.3">
      <c r="H56" s="111" t="s">
        <v>128</v>
      </c>
    </row>
    <row r="57" spans="8:8" x14ac:dyDescent="0.3">
      <c r="H57" s="70" t="s">
        <v>55</v>
      </c>
    </row>
    <row r="58" spans="8:8" x14ac:dyDescent="0.3">
      <c r="H58" s="111" t="s">
        <v>105</v>
      </c>
    </row>
    <row r="59" spans="8:8" x14ac:dyDescent="0.3">
      <c r="H59" s="69" t="s">
        <v>67</v>
      </c>
    </row>
    <row r="60" spans="8:8" x14ac:dyDescent="0.3">
      <c r="H60" s="111" t="s">
        <v>115</v>
      </c>
    </row>
    <row r="61" spans="8:8" x14ac:dyDescent="0.3">
      <c r="H61" s="69" t="s">
        <v>86</v>
      </c>
    </row>
    <row r="62" spans="8:8" x14ac:dyDescent="0.3">
      <c r="H62" s="110" t="s">
        <v>213</v>
      </c>
    </row>
    <row r="63" spans="8:8" x14ac:dyDescent="0.3">
      <c r="H63" s="108" t="s">
        <v>214</v>
      </c>
    </row>
    <row r="64" spans="8:8" x14ac:dyDescent="0.3">
      <c r="H64" s="70" t="s">
        <v>215</v>
      </c>
    </row>
    <row r="65" spans="8:8" x14ac:dyDescent="0.3">
      <c r="H65" s="111" t="s">
        <v>176</v>
      </c>
    </row>
    <row r="66" spans="8:8" x14ac:dyDescent="0.3">
      <c r="H66" s="110" t="s">
        <v>216</v>
      </c>
    </row>
    <row r="67" spans="8:8" x14ac:dyDescent="0.3">
      <c r="H67" s="108" t="s">
        <v>217</v>
      </c>
    </row>
    <row r="68" spans="8:8" x14ac:dyDescent="0.3">
      <c r="H68" s="70" t="s">
        <v>218</v>
      </c>
    </row>
    <row r="69" spans="8:8" x14ac:dyDescent="0.3">
      <c r="H69" s="70" t="s">
        <v>177</v>
      </c>
    </row>
    <row r="70" spans="8:8" x14ac:dyDescent="0.3">
      <c r="H70" s="111" t="s">
        <v>178</v>
      </c>
    </row>
    <row r="71" spans="8:8" x14ac:dyDescent="0.3">
      <c r="H71" s="114" t="s">
        <v>193</v>
      </c>
    </row>
    <row r="72" spans="8:8" x14ac:dyDescent="0.3">
      <c r="H72" s="69" t="s">
        <v>129</v>
      </c>
    </row>
    <row r="73" spans="8:8" x14ac:dyDescent="0.3">
      <c r="H73" s="109" t="s">
        <v>179</v>
      </c>
    </row>
    <row r="74" spans="8:8" x14ac:dyDescent="0.3">
      <c r="H74" s="69" t="s">
        <v>180</v>
      </c>
    </row>
    <row r="75" spans="8:8" x14ac:dyDescent="0.3">
      <c r="H75" s="109" t="s">
        <v>91</v>
      </c>
    </row>
    <row r="76" spans="8:8" x14ac:dyDescent="0.3">
      <c r="H76" s="70" t="s">
        <v>219</v>
      </c>
    </row>
    <row r="77" spans="8:8" x14ac:dyDescent="0.3">
      <c r="H77" s="71" t="s">
        <v>220</v>
      </c>
    </row>
    <row r="78" spans="8:8" x14ac:dyDescent="0.3">
      <c r="H78" s="71" t="s">
        <v>246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9F11A3-1B07-4AC4-B045-F4E913DDCE54}"/>
</file>

<file path=customXml/itemProps2.xml><?xml version="1.0" encoding="utf-8"?>
<ds:datastoreItem xmlns:ds="http://schemas.openxmlformats.org/officeDocument/2006/customXml" ds:itemID="{8C4E97C2-C664-446D-B13B-4F0AE5EE0AA0}"/>
</file>

<file path=customXml/itemProps3.xml><?xml version="1.0" encoding="utf-8"?>
<ds:datastoreItem xmlns:ds="http://schemas.openxmlformats.org/officeDocument/2006/customXml" ds:itemID="{0D3CB3FE-59EE-40A7-9368-5A018C1C12CB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2026-03-31T15:42:57Z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