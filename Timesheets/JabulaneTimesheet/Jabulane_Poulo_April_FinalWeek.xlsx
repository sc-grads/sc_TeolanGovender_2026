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bulane Poulo\Downloads\Timesheet\"/>
    </mc:Choice>
  </mc:AlternateContent>
  <xr:revisionPtr revIDLastSave="0" documentId="8_{719D81F0-BC2F-488B-A237-0367FBC5CE80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31" i="10" l="1"/>
  <c r="H130" i="10"/>
  <c r="H129" i="10"/>
  <c r="H128" i="10"/>
  <c r="H127" i="10"/>
  <c r="H126" i="10"/>
  <c r="H124" i="10"/>
  <c r="H125" i="10"/>
  <c r="H123" i="10"/>
  <c r="H122" i="10"/>
  <c r="H121" i="10"/>
  <c r="H120" i="10"/>
  <c r="H117" i="10"/>
  <c r="H114" i="10"/>
  <c r="H115" i="10"/>
  <c r="H116" i="10"/>
  <c r="H118" i="10"/>
  <c r="H109" i="10"/>
  <c r="H108" i="10"/>
  <c r="H107" i="10"/>
  <c r="H106" i="10"/>
  <c r="H105" i="10"/>
  <c r="H104" i="10"/>
  <c r="H103" i="10"/>
  <c r="H101" i="10"/>
  <c r="H100" i="10"/>
  <c r="H99" i="10"/>
  <c r="H98" i="10"/>
  <c r="H97" i="10"/>
  <c r="H95" i="10"/>
  <c r="H94" i="10"/>
  <c r="H93" i="10"/>
  <c r="H92" i="10"/>
  <c r="H90" i="10"/>
  <c r="H89" i="10"/>
  <c r="H88" i="10"/>
  <c r="H87" i="10"/>
  <c r="H86" i="10"/>
  <c r="H85" i="10"/>
  <c r="H84" i="10"/>
  <c r="H83" i="10"/>
  <c r="H82" i="10"/>
  <c r="H81" i="10"/>
  <c r="H77" i="10"/>
  <c r="H76" i="10"/>
  <c r="H75" i="10"/>
  <c r="H74" i="10"/>
  <c r="H72" i="10"/>
  <c r="H71" i="10"/>
  <c r="H70" i="10"/>
  <c r="H69" i="10"/>
  <c r="H68" i="10"/>
  <c r="H62" i="10"/>
  <c r="H63" i="10"/>
  <c r="H64" i="10"/>
  <c r="H65" i="10"/>
  <c r="H66" i="10"/>
  <c r="H58" i="10"/>
  <c r="H56" i="10"/>
  <c r="H57" i="10"/>
  <c r="H59" i="10"/>
  <c r="H60" i="10"/>
  <c r="H50" i="10"/>
  <c r="H51" i="10"/>
  <c r="H52" i="10"/>
  <c r="H53" i="10"/>
  <c r="H54" i="10"/>
  <c r="H46" i="10"/>
  <c r="H45" i="10"/>
  <c r="H44" i="10"/>
  <c r="H42" i="10"/>
  <c r="H41" i="10"/>
  <c r="H40" i="10"/>
  <c r="H39" i="10"/>
  <c r="H37" i="10"/>
  <c r="H36" i="10"/>
  <c r="H35" i="10"/>
  <c r="H34" i="10"/>
  <c r="H33" i="10"/>
  <c r="H32" i="10"/>
  <c r="H30" i="10"/>
  <c r="H26" i="10"/>
  <c r="H27" i="10"/>
  <c r="H28" i="10"/>
  <c r="H29" i="10"/>
  <c r="H20" i="10"/>
  <c r="H19" i="10"/>
  <c r="H18" i="10"/>
  <c r="H17" i="10"/>
  <c r="H16" i="10"/>
  <c r="H12" i="10"/>
  <c r="H13" i="10"/>
  <c r="H10" i="10"/>
  <c r="H11" i="10"/>
  <c r="H14" i="10"/>
  <c r="H9" i="6"/>
  <c r="H11" i="5"/>
  <c r="H9" i="3"/>
  <c r="F137" i="10"/>
  <c r="H21" i="10"/>
  <c r="H24" i="10"/>
  <c r="H22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132" i="10" l="1"/>
  <c r="H119" i="10"/>
  <c r="H113" i="10"/>
  <c r="H112" i="10"/>
  <c r="H111" i="10"/>
  <c r="H110" i="10"/>
  <c r="H102" i="10"/>
  <c r="H96" i="10"/>
  <c r="H91" i="10"/>
  <c r="H80" i="10"/>
  <c r="H79" i="10"/>
  <c r="H78" i="10"/>
  <c r="H73" i="10"/>
  <c r="H67" i="10"/>
  <c r="H61" i="10"/>
  <c r="H55" i="10"/>
  <c r="H49" i="10"/>
  <c r="H48" i="10"/>
  <c r="H47" i="10"/>
  <c r="H43" i="10"/>
  <c r="H38" i="10"/>
  <c r="H31" i="10"/>
  <c r="H25" i="10"/>
  <c r="H23" i="10"/>
  <c r="H15" i="10"/>
  <c r="H31" i="3"/>
  <c r="F138" i="10" l="1"/>
  <c r="F139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<sst xmlns="http://schemas.openxmlformats.org/spreadsheetml/2006/main" count="1103" uniqueCount="261">
  <si>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</si>
  <si>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</si>
  <si>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</si>
  <si>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</si>
  <si>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</si>
  <si>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</si>
  <si>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</si>
  <si>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</si>
  <si>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</si>
  <si>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</si>
  <si>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</si>
  <si>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</si>
  <si>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</si>
  <si>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</si>
  <si>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</si>
  <si>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</si>
  <si>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</si>
  <si>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</si>
  <si>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</si>
  <si>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</si>
  <si>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</si>
  <si>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</si>
  <si>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</si>
  <si>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</si>
  <si>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</si>
  <si>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</si>
  <si>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</si>
  <si>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</si>
  <si>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</si>
  <si>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</si>
  <si>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</si>
  <si>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</si>
  <si>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</si>
  <si>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</si>
  <si>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</si>
  <si>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</si>
  <si>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</si>
  <si>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</si>
  <si>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</si>
  <si>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</si>
  <si>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</si>
  <si>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</si>
  <si>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</si>
  <si>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</si>
  <si>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</si>
  <si>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</si>
  <si>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</si>
  <si>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</si>
  <si>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</si>
  <si>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</si>
  <si>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</si>
  <si>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</si>
  <si>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</si>
  <si>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</si>
  <si>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</si>
  <si>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</si>
  <si>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</si>
  <si>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</si>
  <si>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</si>
  <si>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</si>
  <si>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</si>
  <si>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</si>
  <si>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</si>
  <si>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</si>
  <si>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</si>
  <si>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</si>
  <si>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</si>
  <si>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</si>
  <si>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</si>
  <si>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</si>
  <si>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</si>
  <si>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</si>
  <si>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</si>
  <si>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</si>
  <si>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</si>
  <si>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</si>
  <si>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</si>
  <si>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</si>
  <si>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</si>
  <si>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</si>
  <si>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</si>
  <si>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</si>
  <si>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</si>
  <si>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</si>
  <si>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</si>
  <si>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</si>
  <si>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</si>
  <si>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</si>
  <si>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</si>
  <si>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</si>
  <si>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</si>
  <si>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</si>
  <si>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</si>
  <si>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</si>
  <si>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</si>
  <si>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</si>
  <si>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</si>
  <si>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</si>
  <si>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</si>
  <si>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</si>
  <si>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</si>
  <si>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</si>
  <si>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</si>
  <si>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</si>
  <si>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</si>
  <si>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</si>
  <si>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</si>
  <si>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</si>
  <si>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</si>
  <si>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</si>
  <si>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</si>
  <si>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</si>
  <si>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</si>
  <si>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</si>
  <si>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</si>
  <si>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</si>
  <si>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</si>
  <si>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</si>
  <si>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</si>
  <si>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</si>
  <si>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</si>
  <si>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</si>
  <si>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</si>
  <si>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</si>
  <si>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</si>
  <si>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</si>
  <si>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</si>
  <si>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</si>
  <si>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</si>
  <si>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</si>
  <si>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</si>
  <si>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</si>
  <si>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</si>
  <si>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</si>
  <si>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</si>
  <si>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</si>
  <si>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</si>
  <si>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</si>
  <si>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</si>
  <si>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</si>
  <si>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</si>
  <si>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</si>
  <si>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</si>
  <si>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</si>
  <si>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</si>
  <si>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</si>
  <si>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</si>
  <si>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</si>
  <si>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</si>
  <si>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</si>
  <si>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</si>
  <si>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</si>
  <si>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</si>
  <si>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</si>
  <si>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</si>
  <si>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</si>
  <si>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</si>
  <si>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</si>
  <si>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</si>
  <si>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</si>
  <si>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</si>
  <si>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</si>
  <si>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</si>
  <si>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</si>
  <si>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</si>
  <si>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</si>
  <si>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</si>
  <si>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</si>
  <si>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</si>
  <si>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</si>
  <si>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</si>
  <si>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</si>
  <si>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</si>
  <si>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</si>
  <si>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</si>
  <si>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</si>
  <si>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</si>
  <si>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</si>
  <si>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</si>
  <si>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</si>
  <si>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</si>
  <si>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</si>
  <si>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</si>
  <si>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</si>
  <si>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</si>
  <si>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</si>
  <si>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</si>
  <si>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</si>
  <si>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</si>
  <si>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</si>
  <si>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</si>
  <si>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</si>
  <si>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</si>
  <si>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</si>
  <si>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</si>
  <si>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</si>
  <si>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</si>
  <si>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</si>
  <si>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</si>
  <si>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</si>
  <si>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</si>
  <si>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</si>
  <si>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</si>
  <si>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</si>
  <si>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</si>
  <si>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</si>
  <si>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</si>
  <si>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</si>
  <si>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</si>
  <si>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</si>
  <si>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</si>
  <si>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</si>
  <si>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</si>
  <si>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</si>
  <si>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</si>
  <si>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</si>
  <si>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</si>
  <si>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</si>
  <si>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</si>
  <si>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</si>
  <si>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</si>
  <si>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Meeting with Clement Tshivhase and the team</t>
  </si>
  <si>
    <t>Continued with the Udemy Pytthon for beginners</t>
  </si>
  <si>
    <t xml:space="preserve">Meeting with Clement Tshivhase and the team discussed the Udemy Python course </t>
  </si>
  <si>
    <t>Meeting with Clement Tshivhase and the team discussed the Udemy Python course</t>
  </si>
  <si>
    <t xml:space="preserve"> Meeting with Clement Tshivhase, Bongani Mondlane and the team</t>
  </si>
  <si>
    <t>Meeting with Bongani Mondlane and the team to discussed the Udemy Python course</t>
  </si>
  <si>
    <t xml:space="preserve">Continued with the Udemy Pytthon for beginners </t>
  </si>
  <si>
    <t>Continued with the Udemy Python course</t>
  </si>
  <si>
    <t>Started the Udemy GitHub Action course</t>
  </si>
  <si>
    <t>Continued the Udemy GitHub Action course</t>
  </si>
  <si>
    <t xml:space="preserve">Had a meeting with the team and disscused the Udemy Python course </t>
  </si>
  <si>
    <t>Traveled to Montecasino to attend the Sambe Comedy night</t>
  </si>
  <si>
    <t>Started with the Sales Analysis Project</t>
  </si>
  <si>
    <t>Continued working on the Sales Analysis Project</t>
  </si>
  <si>
    <t>Continued working on the Sales Analysis  Project</t>
  </si>
  <si>
    <t>Meeting with Bongani Mondlane and the team to discussed the Sales Analysis Project</t>
  </si>
  <si>
    <t>Continued working with Sales Analysis Project</t>
  </si>
  <si>
    <t>Meeting with Clement Tshivhase and the team to discuss the Project</t>
  </si>
  <si>
    <t>Continued working on the Sales Analysis project</t>
  </si>
  <si>
    <t>Continued  working on Sales Analysis project</t>
  </si>
  <si>
    <t>Meeting with Clement Tshivhase and the team and discussed the Sales Analysis Project</t>
  </si>
  <si>
    <t xml:space="preserve">Meeting with Bongani Mondlane, Clement Tshivhase  and the team </t>
  </si>
  <si>
    <t>Meeting with Clement Tshivhase and the team discuessed the Udemy  GitHub  Actions course</t>
  </si>
  <si>
    <t xml:space="preserve">Meeting with Clement Tshivhase and the team </t>
  </si>
  <si>
    <t>Meeting with Bongani Mondlane and the team to discussed the Udemy  GitHub Actions course</t>
  </si>
  <si>
    <t>Thugthrsday</t>
  </si>
  <si>
    <t xml:space="preserve">One on one meeting with Bongani Mondlane </t>
  </si>
  <si>
    <t>Meeting with Clement Tshivhase and the team and did a group presentation practice</t>
  </si>
  <si>
    <t>Meeting with the team to prepare for data Sales Analysis project presentation</t>
  </si>
  <si>
    <t xml:space="preserve">Continued with the Udemy GitHub Action course </t>
  </si>
  <si>
    <t>Meeting with Bongani Mondlane, and the team</t>
  </si>
  <si>
    <t>Revision on the Udemy GitHub Action course and continued with the side project</t>
  </si>
  <si>
    <t>Revision on the Udemy GitHub Action course and start a simple side project</t>
  </si>
  <si>
    <t>Started the Udemy  Database Admin course</t>
  </si>
  <si>
    <t>Did a few edits on my dashboard and reports</t>
  </si>
  <si>
    <t xml:space="preserve">Continued with the Udemy Database Admin course </t>
  </si>
  <si>
    <t>Meeting with Bongani Mondlane and the team to present the Sales Analysis Project</t>
  </si>
  <si>
    <t>Meeting with Clement Tshivhase and the team and presented the Sales Analysis Project</t>
  </si>
  <si>
    <t>Continued with the Udemy Database Admin course</t>
  </si>
  <si>
    <t xml:space="preserve">Sales Analysis Presentation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</si>
</sst>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15" fontId="12" fillId="0" borderId="0" xfId="0" applyNumberFormat="1" applyFont="1" applyAlignment="1">
      <alignment vertical="center"/>
    </xf>
    <xf numFmtId="15" fontId="12" fillId="0" borderId="0" xfId="0" applyNumberFormat="1" applyFont="1" applyAlignment="1">
      <alignment vertical="center"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542209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4449" cy="581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3:J142"/>
  <sheetViews>
    <sheetView tabSelected="1" view="pageBreakPreview" topLeftCell="A112" zoomScale="60" zoomScaleNormal="75" workbookViewId="0">
      <selection activeCell="G123" sqref="G123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3" spans="1:10" x14ac:dyDescent="0.2">
      <c r="F3" s="64"/>
      <c r="G3" s="64"/>
    </row>
    <row r="4" spans="1:10" x14ac:dyDescent="0.2">
      <c r="H4" s="64"/>
    </row>
    <row r="5" spans="1:10" x14ac:dyDescent="0.2">
      <c r="A5" s="37" t="s">
        <v>2</v>
      </c>
      <c r="B5" s="23" t="s">
        <v>207</v>
      </c>
      <c r="H5" s="65"/>
    </row>
    <row r="6" spans="1:10" x14ac:dyDescent="0.2">
      <c r="A6" s="37" t="s">
        <v>93</v>
      </c>
      <c r="B6" s="72">
        <f>F137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25.2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221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ht="25.2" x14ac:dyDescent="0.2">
      <c r="A10" s="22">
        <v>46113</v>
      </c>
      <c r="B10" s="22" t="s">
        <v>19</v>
      </c>
      <c r="C10" s="27" t="s">
        <v>125</v>
      </c>
      <c r="D10" s="27"/>
      <c r="E10" s="27" t="s">
        <v>33</v>
      </c>
      <c r="F10" s="27" t="s">
        <v>15</v>
      </c>
      <c r="G10" s="28" t="s">
        <v>222</v>
      </c>
      <c r="H10" s="29">
        <f t="shared" ref="H10:H14" si="0">J10-I10</f>
        <v>0.11319444444444443</v>
      </c>
      <c r="I10" s="30">
        <v>0.34513888888888888</v>
      </c>
      <c r="J10" s="30">
        <v>0.45833333333333331</v>
      </c>
    </row>
    <row r="11" spans="1:10" ht="37.799999999999997" x14ac:dyDescent="0.2">
      <c r="A11" s="22">
        <v>46113</v>
      </c>
      <c r="B11" s="22" t="s">
        <v>19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f t="shared" si="0"/>
        <v>2.5000000000000022E-2</v>
      </c>
      <c r="I11" s="30">
        <v>0.45833333333333331</v>
      </c>
      <c r="J11" s="30">
        <v>0.48333333333333334</v>
      </c>
    </row>
    <row r="12" spans="1:10" ht="25.2" x14ac:dyDescent="0.2">
      <c r="A12" s="22">
        <v>46113</v>
      </c>
      <c r="B12" s="22" t="s">
        <v>19</v>
      </c>
      <c r="C12" s="27" t="s">
        <v>125</v>
      </c>
      <c r="D12" s="27"/>
      <c r="E12" s="27" t="s">
        <v>33</v>
      </c>
      <c r="F12" s="27" t="s">
        <v>15</v>
      </c>
      <c r="G12" s="28" t="s">
        <v>222</v>
      </c>
      <c r="H12" s="29">
        <f t="shared" si="0"/>
        <v>2.0138888888888873E-2</v>
      </c>
      <c r="I12" s="30">
        <v>0.48333333333333334</v>
      </c>
      <c r="J12" s="30">
        <v>0.50347222222222221</v>
      </c>
    </row>
    <row r="13" spans="1:10" ht="25.2" x14ac:dyDescent="0.2">
      <c r="A13" s="22">
        <v>46113</v>
      </c>
      <c r="B13" s="22" t="s">
        <v>19</v>
      </c>
      <c r="C13" s="27" t="s">
        <v>125</v>
      </c>
      <c r="D13" s="27"/>
      <c r="E13" s="27" t="s">
        <v>33</v>
      </c>
      <c r="F13" s="27" t="s">
        <v>15</v>
      </c>
      <c r="G13" s="28" t="s">
        <v>222</v>
      </c>
      <c r="H13" s="29">
        <f t="shared" si="0"/>
        <v>0.12847222222222221</v>
      </c>
      <c r="I13" s="30">
        <v>0.53819444444444442</v>
      </c>
      <c r="J13" s="30">
        <v>0.66666666666666663</v>
      </c>
    </row>
    <row r="14" spans="1:10" ht="37.799999999999997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226</v>
      </c>
      <c r="H14" s="29">
        <f t="shared" si="0"/>
        <v>7.9166666666666718E-2</v>
      </c>
      <c r="I14" s="30">
        <v>0.66666666666666663</v>
      </c>
      <c r="J14" s="30">
        <v>0.74583333333333335</v>
      </c>
    </row>
    <row r="15" spans="1:10" ht="25.2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221</v>
      </c>
      <c r="H15" s="29">
        <f t="shared" ref="H15:H132" si="1">J15-I15</f>
        <v>6.9444444444444753E-3</v>
      </c>
      <c r="I15" s="30">
        <v>0.33333333333333331</v>
      </c>
      <c r="J15" s="30">
        <v>0.34027777777777779</v>
      </c>
    </row>
    <row r="16" spans="1:10" ht="25.2" x14ac:dyDescent="0.2">
      <c r="A16" s="22">
        <v>46114</v>
      </c>
      <c r="B16" s="22" t="s">
        <v>20</v>
      </c>
      <c r="C16" s="27" t="s">
        <v>125</v>
      </c>
      <c r="D16" s="27"/>
      <c r="E16" s="27" t="s">
        <v>33</v>
      </c>
      <c r="F16" s="27" t="s">
        <v>15</v>
      </c>
      <c r="G16" s="28" t="s">
        <v>222</v>
      </c>
      <c r="H16" s="29">
        <f t="shared" si="1"/>
        <v>0.11805555555555552</v>
      </c>
      <c r="I16" s="30">
        <v>0.34027777777777779</v>
      </c>
      <c r="J16" s="30">
        <v>0.45833333333333331</v>
      </c>
    </row>
    <row r="17" spans="1:10" ht="37.799999999999997" x14ac:dyDescent="0.2">
      <c r="A17" s="22">
        <v>46114</v>
      </c>
      <c r="B17" s="22" t="s">
        <v>20</v>
      </c>
      <c r="C17" s="27" t="s">
        <v>125</v>
      </c>
      <c r="D17" s="27"/>
      <c r="E17" s="27" t="s">
        <v>62</v>
      </c>
      <c r="F17" s="27" t="s">
        <v>15</v>
      </c>
      <c r="G17" s="28" t="s">
        <v>224</v>
      </c>
      <c r="H17" s="29">
        <f t="shared" si="1"/>
        <v>3.5416666666666707E-2</v>
      </c>
      <c r="I17" s="30">
        <v>0.45833333333333331</v>
      </c>
      <c r="J17" s="30">
        <v>0.49375000000000002</v>
      </c>
    </row>
    <row r="18" spans="1:10" ht="25.2" x14ac:dyDescent="0.2">
      <c r="A18" s="22">
        <v>46114</v>
      </c>
      <c r="B18" s="22" t="s">
        <v>20</v>
      </c>
      <c r="C18" s="27" t="s">
        <v>125</v>
      </c>
      <c r="D18" s="27"/>
      <c r="E18" s="27" t="s">
        <v>33</v>
      </c>
      <c r="F18" s="27" t="s">
        <v>15</v>
      </c>
      <c r="G18" s="28" t="s">
        <v>222</v>
      </c>
      <c r="H18" s="29">
        <f t="shared" si="1"/>
        <v>2.8472222222222232E-2</v>
      </c>
      <c r="I18" s="30">
        <v>0.49375000000000002</v>
      </c>
      <c r="J18" s="30">
        <v>0.52222222222222225</v>
      </c>
    </row>
    <row r="19" spans="1:10" ht="25.2" x14ac:dyDescent="0.2">
      <c r="A19" s="22">
        <v>46114</v>
      </c>
      <c r="B19" s="22" t="s">
        <v>20</v>
      </c>
      <c r="C19" s="27" t="s">
        <v>125</v>
      </c>
      <c r="D19" s="27"/>
      <c r="E19" s="27" t="s">
        <v>33</v>
      </c>
      <c r="F19" s="27" t="s">
        <v>15</v>
      </c>
      <c r="G19" s="28" t="s">
        <v>222</v>
      </c>
      <c r="H19" s="29">
        <f t="shared" si="1"/>
        <v>0.10555555555555551</v>
      </c>
      <c r="I19" s="30">
        <v>0.56111111111111112</v>
      </c>
      <c r="J19" s="30">
        <v>0.66666666666666663</v>
      </c>
    </row>
    <row r="20" spans="1:10" ht="25.2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225</v>
      </c>
      <c r="H20" s="29">
        <f t="shared" si="1"/>
        <v>4.9305555555555602E-2</v>
      </c>
      <c r="I20" s="30">
        <v>0.66666666666666663</v>
      </c>
      <c r="J20" s="30">
        <v>0.71597222222222223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ht="25.2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221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ht="25.2" x14ac:dyDescent="0.2">
      <c r="A26" s="22">
        <v>46119</v>
      </c>
      <c r="B26" s="22" t="s">
        <v>18</v>
      </c>
      <c r="C26" s="27" t="s">
        <v>125</v>
      </c>
      <c r="D26" s="27"/>
      <c r="E26" s="27" t="s">
        <v>33</v>
      </c>
      <c r="F26" s="27" t="s">
        <v>15</v>
      </c>
      <c r="G26" s="28" t="s">
        <v>222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ht="37.799999999999997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224</v>
      </c>
      <c r="H27" s="29">
        <f t="shared" si="1"/>
        <v>2.7083333333333348E-2</v>
      </c>
      <c r="I27" s="30">
        <v>0.45833333333333331</v>
      </c>
      <c r="J27" s="30">
        <v>0.48541666666666666</v>
      </c>
    </row>
    <row r="28" spans="1:10" ht="25.2" x14ac:dyDescent="0.2">
      <c r="A28" s="22">
        <v>46119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222</v>
      </c>
      <c r="H28" s="29">
        <f t="shared" si="1"/>
        <v>1.8055555555555547E-2</v>
      </c>
      <c r="I28" s="30">
        <v>0.48541666666666666</v>
      </c>
      <c r="J28" s="30">
        <v>0.50347222222222221</v>
      </c>
    </row>
    <row r="29" spans="1:10" ht="25.2" x14ac:dyDescent="0.2">
      <c r="A29" s="22">
        <v>46119</v>
      </c>
      <c r="B29" s="22" t="s">
        <v>18</v>
      </c>
      <c r="C29" s="27" t="s">
        <v>125</v>
      </c>
      <c r="D29" s="27"/>
      <c r="E29" s="27" t="s">
        <v>33</v>
      </c>
      <c r="F29" s="27" t="s">
        <v>15</v>
      </c>
      <c r="G29" s="28" t="s">
        <v>227</v>
      </c>
      <c r="H29" s="29">
        <f t="shared" si="1"/>
        <v>0.12847222222222221</v>
      </c>
      <c r="I29" s="30">
        <v>0.53819444444444442</v>
      </c>
      <c r="J29" s="30">
        <v>0.66666666666666663</v>
      </c>
    </row>
    <row r="30" spans="1:10" ht="37.799999999999997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226</v>
      </c>
      <c r="H30" s="29">
        <f t="shared" si="1"/>
        <v>5.7638888888888906E-2</v>
      </c>
      <c r="I30" s="30">
        <v>0.66666666666666663</v>
      </c>
      <c r="J30" s="30">
        <v>0.72430555555555554</v>
      </c>
    </row>
    <row r="31" spans="1:10" ht="25.2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221</v>
      </c>
      <c r="H31" s="29">
        <f t="shared" si="1"/>
        <v>7.6388888888889173E-3</v>
      </c>
      <c r="I31" s="30">
        <v>0.33333333333333331</v>
      </c>
      <c r="J31" s="30">
        <v>0.34097222222222223</v>
      </c>
    </row>
    <row r="32" spans="1:10" ht="25.2" x14ac:dyDescent="0.2">
      <c r="A32" s="22">
        <v>46120</v>
      </c>
      <c r="B32" s="22" t="s">
        <v>19</v>
      </c>
      <c r="C32" s="27" t="s">
        <v>125</v>
      </c>
      <c r="D32" s="27"/>
      <c r="E32" s="27" t="s">
        <v>33</v>
      </c>
      <c r="F32" s="27" t="s">
        <v>15</v>
      </c>
      <c r="G32" s="28" t="s">
        <v>222</v>
      </c>
      <c r="H32" s="29">
        <f t="shared" si="1"/>
        <v>0.11736111111111108</v>
      </c>
      <c r="I32" s="30">
        <v>0.34097222222222223</v>
      </c>
      <c r="J32" s="30">
        <v>0.45833333333333331</v>
      </c>
    </row>
    <row r="33" spans="1:10" ht="37.799999999999997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224</v>
      </c>
      <c r="H33" s="29">
        <f t="shared" si="1"/>
        <v>3.2638888888888884E-2</v>
      </c>
      <c r="I33" s="30">
        <v>0.45833333333333331</v>
      </c>
      <c r="J33" s="30">
        <v>0.4909722222222222</v>
      </c>
    </row>
    <row r="34" spans="1:10" ht="25.2" x14ac:dyDescent="0.2">
      <c r="A34" s="22">
        <v>46120</v>
      </c>
      <c r="B34" s="22" t="s">
        <v>19</v>
      </c>
      <c r="C34" s="27" t="s">
        <v>125</v>
      </c>
      <c r="D34" s="27"/>
      <c r="E34" s="27" t="s">
        <v>33</v>
      </c>
      <c r="F34" s="27" t="s">
        <v>15</v>
      </c>
      <c r="G34" s="28" t="s">
        <v>228</v>
      </c>
      <c r="H34" s="29">
        <f t="shared" si="1"/>
        <v>1.5972222222222221E-2</v>
      </c>
      <c r="I34" s="30">
        <v>0.4909722222222222</v>
      </c>
      <c r="J34" s="30">
        <v>0.50694444444444442</v>
      </c>
    </row>
    <row r="35" spans="1:10" ht="25.2" x14ac:dyDescent="0.2">
      <c r="A35" s="22">
        <v>46120</v>
      </c>
      <c r="B35" s="22" t="s">
        <v>19</v>
      </c>
      <c r="C35" s="27" t="s">
        <v>125</v>
      </c>
      <c r="D35" s="27"/>
      <c r="E35" s="27" t="s">
        <v>33</v>
      </c>
      <c r="F35" s="27" t="s">
        <v>15</v>
      </c>
      <c r="G35" s="28" t="s">
        <v>222</v>
      </c>
      <c r="H35" s="29">
        <f t="shared" si="1"/>
        <v>0.11805555555555547</v>
      </c>
      <c r="I35" s="30">
        <v>0.54861111111111116</v>
      </c>
      <c r="J35" s="30">
        <v>0.66666666666666663</v>
      </c>
    </row>
    <row r="36" spans="1:10" ht="37.799999999999997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226</v>
      </c>
      <c r="H36" s="29">
        <f t="shared" si="1"/>
        <v>2.2222222222222254E-2</v>
      </c>
      <c r="I36" s="30">
        <v>0.66666666666666663</v>
      </c>
      <c r="J36" s="30">
        <v>0.68888888888888888</v>
      </c>
    </row>
    <row r="37" spans="1:10" ht="25.2" x14ac:dyDescent="0.2">
      <c r="A37" s="22">
        <v>46120</v>
      </c>
      <c r="B37" s="22" t="s">
        <v>19</v>
      </c>
      <c r="C37" s="27" t="s">
        <v>125</v>
      </c>
      <c r="D37" s="27"/>
      <c r="E37" s="27" t="s">
        <v>33</v>
      </c>
      <c r="F37" s="27" t="s">
        <v>15</v>
      </c>
      <c r="G37" s="28" t="s">
        <v>222</v>
      </c>
      <c r="H37" s="29">
        <f t="shared" si="1"/>
        <v>2.9861111111111116E-2</v>
      </c>
      <c r="I37" s="30">
        <v>0.68888888888888888</v>
      </c>
      <c r="J37" s="30">
        <v>0.71875</v>
      </c>
    </row>
    <row r="38" spans="1:10" ht="25.2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221</v>
      </c>
      <c r="H38" s="29">
        <f t="shared" si="1"/>
        <v>4.1666666666667074E-3</v>
      </c>
      <c r="I38" s="30">
        <v>0.33333333333333331</v>
      </c>
      <c r="J38" s="30">
        <v>0.33750000000000002</v>
      </c>
    </row>
    <row r="39" spans="1:10" ht="25.2" x14ac:dyDescent="0.2">
      <c r="A39" s="22">
        <v>46121</v>
      </c>
      <c r="B39" s="22" t="s">
        <v>20</v>
      </c>
      <c r="C39" s="27" t="s">
        <v>125</v>
      </c>
      <c r="D39" s="27"/>
      <c r="E39" s="27" t="s">
        <v>33</v>
      </c>
      <c r="F39" s="27" t="s">
        <v>15</v>
      </c>
      <c r="G39" s="28" t="s">
        <v>229</v>
      </c>
      <c r="H39" s="29">
        <f t="shared" si="1"/>
        <v>0.12083333333333329</v>
      </c>
      <c r="I39" s="30">
        <v>0.33750000000000002</v>
      </c>
      <c r="J39" s="30">
        <v>0.45833333333333331</v>
      </c>
    </row>
    <row r="40" spans="1:10" ht="37.799999999999997" x14ac:dyDescent="0.2">
      <c r="A40" s="22">
        <v>46121</v>
      </c>
      <c r="B40" s="22" t="s">
        <v>20</v>
      </c>
      <c r="C40" s="27" t="s">
        <v>125</v>
      </c>
      <c r="D40" s="27"/>
      <c r="E40" s="27" t="s">
        <v>62</v>
      </c>
      <c r="F40" s="27" t="s">
        <v>15</v>
      </c>
      <c r="G40" s="28" t="s">
        <v>226</v>
      </c>
      <c r="H40" s="29">
        <f t="shared" si="1"/>
        <v>3.6805555555555591E-2</v>
      </c>
      <c r="I40" s="30">
        <v>0.45833333333333331</v>
      </c>
      <c r="J40" s="30">
        <v>0.49513888888888891</v>
      </c>
    </row>
    <row r="41" spans="1:10" ht="25.2" x14ac:dyDescent="0.2">
      <c r="A41" s="22">
        <v>46121</v>
      </c>
      <c r="B41" s="22" t="s">
        <v>20</v>
      </c>
      <c r="C41" s="27" t="s">
        <v>125</v>
      </c>
      <c r="D41" s="27"/>
      <c r="E41" s="27" t="s">
        <v>33</v>
      </c>
      <c r="F41" s="27" t="s">
        <v>15</v>
      </c>
      <c r="G41" s="28" t="s">
        <v>230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37.799999999999997" x14ac:dyDescent="0.2">
      <c r="A42" s="22">
        <v>46121</v>
      </c>
      <c r="B42" s="22" t="s">
        <v>20</v>
      </c>
      <c r="C42" s="27" t="s">
        <v>125</v>
      </c>
      <c r="D42" s="27"/>
      <c r="E42" s="27" t="s">
        <v>33</v>
      </c>
      <c r="F42" s="27" t="s">
        <v>15</v>
      </c>
      <c r="G42" s="28" t="s">
        <v>226</v>
      </c>
      <c r="H42" s="29">
        <f t="shared" si="1"/>
        <v>5.208333333333337E-2</v>
      </c>
      <c r="I42" s="30">
        <v>0.66666666666666663</v>
      </c>
      <c r="J42" s="30">
        <v>0.71875</v>
      </c>
    </row>
    <row r="43" spans="1:10" ht="25.2" x14ac:dyDescent="0.2">
      <c r="A43" s="22">
        <v>46122</v>
      </c>
      <c r="B43" s="22" t="s">
        <v>11</v>
      </c>
      <c r="C43" s="27" t="s">
        <v>125</v>
      </c>
      <c r="D43" s="27"/>
      <c r="E43" s="27" t="s">
        <v>62</v>
      </c>
      <c r="F43" s="27" t="s">
        <v>15</v>
      </c>
      <c r="G43" s="28" t="s">
        <v>221</v>
      </c>
      <c r="H43" s="29">
        <f t="shared" si="1"/>
        <v>4.8611111111111494E-3</v>
      </c>
      <c r="I43" s="30">
        <v>0.33333333333333331</v>
      </c>
      <c r="J43" s="30">
        <v>0.33819444444444446</v>
      </c>
    </row>
    <row r="44" spans="1:10" ht="25.2" x14ac:dyDescent="0.2">
      <c r="A44" s="22">
        <v>46122</v>
      </c>
      <c r="B44" s="22" t="s">
        <v>11</v>
      </c>
      <c r="C44" s="27" t="s">
        <v>125</v>
      </c>
      <c r="D44" s="27"/>
      <c r="E44" s="27" t="s">
        <v>33</v>
      </c>
      <c r="F44" s="27" t="s">
        <v>15</v>
      </c>
      <c r="G44" s="28" t="s">
        <v>230</v>
      </c>
      <c r="H44" s="29">
        <f t="shared" si="1"/>
        <v>0.12013888888888885</v>
      </c>
      <c r="I44" s="30">
        <v>0.33819444444444446</v>
      </c>
      <c r="J44" s="30">
        <v>0.45833333333333331</v>
      </c>
    </row>
    <row r="45" spans="1:10" ht="25.2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231</v>
      </c>
      <c r="H45" s="29">
        <f t="shared" si="1"/>
        <v>3.2638888888888884E-2</v>
      </c>
      <c r="I45" s="30">
        <v>0.45833333333333331</v>
      </c>
      <c r="J45" s="30">
        <v>0.4909722222222222</v>
      </c>
    </row>
    <row r="46" spans="1:10" ht="25.2" x14ac:dyDescent="0.2">
      <c r="A46" s="22">
        <v>46122</v>
      </c>
      <c r="B46" s="22" t="s">
        <v>11</v>
      </c>
      <c r="C46" s="27" t="s">
        <v>125</v>
      </c>
      <c r="D46" s="27"/>
      <c r="E46" s="27" t="s">
        <v>56</v>
      </c>
      <c r="F46" s="27" t="s">
        <v>15</v>
      </c>
      <c r="G46" s="28" t="s">
        <v>232</v>
      </c>
      <c r="H46" s="29">
        <f t="shared" si="1"/>
        <v>0.22847222222222224</v>
      </c>
      <c r="I46" s="30">
        <v>0.4909722222222222</v>
      </c>
      <c r="J46" s="30">
        <v>0.71944444444444444</v>
      </c>
    </row>
    <row r="47" spans="1:10" x14ac:dyDescent="0.2">
      <c r="A47" s="31">
        <v>46123</v>
      </c>
      <c r="B47" s="31" t="s">
        <v>14</v>
      </c>
      <c r="C47" s="32"/>
      <c r="D47" s="32"/>
      <c r="E47" s="32"/>
      <c r="F47" s="32"/>
      <c r="G47" s="33"/>
      <c r="H47" s="34">
        <f t="shared" si="1"/>
        <v>0</v>
      </c>
      <c r="I47" s="35"/>
      <c r="J47" s="35"/>
    </row>
    <row r="48" spans="1:10" x14ac:dyDescent="0.2">
      <c r="A48" s="31">
        <v>46124</v>
      </c>
      <c r="B48" s="31" t="s">
        <v>16</v>
      </c>
      <c r="C48" s="32"/>
      <c r="D48" s="32"/>
      <c r="E48" s="32"/>
      <c r="F48" s="32"/>
      <c r="G48" s="33"/>
      <c r="H48" s="34">
        <f t="shared" si="1"/>
        <v>0</v>
      </c>
      <c r="I48" s="35"/>
      <c r="J48" s="35"/>
    </row>
    <row r="49" spans="1:10" ht="25.2" x14ac:dyDescent="0.2">
      <c r="A49" s="22">
        <v>46125</v>
      </c>
      <c r="B49" s="22" t="s">
        <v>17</v>
      </c>
      <c r="C49" s="27" t="s">
        <v>125</v>
      </c>
      <c r="E49" s="27" t="s">
        <v>62</v>
      </c>
      <c r="F49" s="27" t="s">
        <v>15</v>
      </c>
      <c r="G49" s="28" t="s">
        <v>221</v>
      </c>
      <c r="H49" s="29">
        <f t="shared" si="1"/>
        <v>7.6388888888889173E-3</v>
      </c>
      <c r="I49" s="30">
        <v>0.33333333333333331</v>
      </c>
      <c r="J49" s="30">
        <v>0.34097222222222223</v>
      </c>
    </row>
    <row r="50" spans="1:10" ht="25.2" x14ac:dyDescent="0.2">
      <c r="A50" s="22">
        <v>46125</v>
      </c>
      <c r="B50" s="22" t="s">
        <v>17</v>
      </c>
      <c r="C50" s="27" t="s">
        <v>125</v>
      </c>
      <c r="D50" s="27"/>
      <c r="E50" s="27" t="s">
        <v>33</v>
      </c>
      <c r="F50" s="27" t="s">
        <v>15</v>
      </c>
      <c r="G50" s="28" t="s">
        <v>233</v>
      </c>
      <c r="H50" s="29">
        <f t="shared" si="1"/>
        <v>0.11736111111111108</v>
      </c>
      <c r="I50" s="30">
        <v>0.34097222222222223</v>
      </c>
      <c r="J50" s="30">
        <v>0.45833333333333331</v>
      </c>
    </row>
    <row r="51" spans="1:10" ht="25.2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221</v>
      </c>
      <c r="H51" s="29">
        <f t="shared" si="1"/>
        <v>2.2222222222222254E-2</v>
      </c>
      <c r="I51" s="30">
        <v>0.45833333333333331</v>
      </c>
      <c r="J51" s="30">
        <v>0.48055555555555557</v>
      </c>
    </row>
    <row r="52" spans="1:10" ht="25.2" x14ac:dyDescent="0.2">
      <c r="A52" s="22">
        <v>46125</v>
      </c>
      <c r="B52" s="22" t="s">
        <v>17</v>
      </c>
      <c r="C52" s="27" t="s">
        <v>125</v>
      </c>
      <c r="D52" s="27"/>
      <c r="E52" s="27" t="s">
        <v>33</v>
      </c>
      <c r="F52" s="27" t="s">
        <v>15</v>
      </c>
      <c r="G52" s="28" t="s">
        <v>234</v>
      </c>
      <c r="H52" s="29">
        <f t="shared" si="1"/>
        <v>2.6388888888888851E-2</v>
      </c>
      <c r="I52" s="30">
        <v>0.48055555555555557</v>
      </c>
      <c r="J52" s="30">
        <v>0.50694444444444442</v>
      </c>
    </row>
    <row r="53" spans="1:10" ht="25.2" x14ac:dyDescent="0.2">
      <c r="A53" s="22">
        <v>46125</v>
      </c>
      <c r="B53" s="22" t="s">
        <v>17</v>
      </c>
      <c r="C53" s="27" t="s">
        <v>125</v>
      </c>
      <c r="D53" s="27"/>
      <c r="E53" s="27" t="s">
        <v>33</v>
      </c>
      <c r="F53" s="27" t="s">
        <v>15</v>
      </c>
      <c r="G53" s="28" t="s">
        <v>235</v>
      </c>
      <c r="H53" s="29">
        <f t="shared" si="1"/>
        <v>0.11805555555555547</v>
      </c>
      <c r="I53" s="30">
        <v>0.54861111111111116</v>
      </c>
      <c r="J53" s="30">
        <v>0.66666666666666663</v>
      </c>
    </row>
    <row r="54" spans="1:10" ht="37.799999999999997" x14ac:dyDescent="0.2">
      <c r="A54" s="22">
        <v>46125</v>
      </c>
      <c r="B54" s="22" t="s">
        <v>17</v>
      </c>
      <c r="C54" s="27" t="s">
        <v>125</v>
      </c>
      <c r="D54" s="27"/>
      <c r="E54" s="27" t="s">
        <v>33</v>
      </c>
      <c r="F54" s="27" t="s">
        <v>15</v>
      </c>
      <c r="G54" s="28" t="s">
        <v>236</v>
      </c>
      <c r="H54" s="29">
        <f t="shared" si="1"/>
        <v>4.3055555555555625E-2</v>
      </c>
      <c r="I54" s="30">
        <v>0.66666666666666663</v>
      </c>
      <c r="J54" s="30">
        <v>0.70972222222222225</v>
      </c>
    </row>
    <row r="55" spans="1:10" ht="25.2" x14ac:dyDescent="0.2">
      <c r="A55" s="22">
        <v>46126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221</v>
      </c>
      <c r="H55" s="29">
        <f t="shared" si="1"/>
        <v>5.5555555555555913E-3</v>
      </c>
      <c r="I55" s="30">
        <v>0.33333333333333331</v>
      </c>
      <c r="J55" s="30">
        <v>0.33888888888888891</v>
      </c>
    </row>
    <row r="56" spans="1:10" ht="25.2" x14ac:dyDescent="0.2">
      <c r="A56" s="22">
        <v>46126</v>
      </c>
      <c r="B56" s="22" t="s">
        <v>18</v>
      </c>
      <c r="C56" s="27" t="s">
        <v>125</v>
      </c>
      <c r="D56" s="27"/>
      <c r="E56" s="27" t="s">
        <v>33</v>
      </c>
      <c r="F56" s="27" t="s">
        <v>15</v>
      </c>
      <c r="G56" s="28" t="s">
        <v>237</v>
      </c>
      <c r="H56" s="29">
        <f t="shared" si="1"/>
        <v>0.11944444444444441</v>
      </c>
      <c r="I56" s="30">
        <v>0.33888888888888891</v>
      </c>
      <c r="J56" s="30">
        <v>0.45833333333333331</v>
      </c>
    </row>
    <row r="57" spans="1:10" ht="25.2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238</v>
      </c>
      <c r="H57" s="29">
        <f t="shared" si="1"/>
        <v>2.8472222222222232E-2</v>
      </c>
      <c r="I57" s="30">
        <v>0.45833333333333331</v>
      </c>
      <c r="J57" s="30">
        <v>0.48680555555555555</v>
      </c>
    </row>
    <row r="58" spans="1:10" ht="25.2" x14ac:dyDescent="0.2">
      <c r="A58" s="22">
        <v>46126</v>
      </c>
      <c r="B58" s="22" t="s">
        <v>18</v>
      </c>
      <c r="C58" s="27" t="s">
        <v>125</v>
      </c>
      <c r="D58" s="27"/>
      <c r="E58" s="27" t="s">
        <v>33</v>
      </c>
      <c r="F58" s="27" t="s">
        <v>15</v>
      </c>
      <c r="G58" s="28" t="s">
        <v>239</v>
      </c>
      <c r="H58" s="29">
        <f t="shared" si="1"/>
        <v>3.8194444444444475E-2</v>
      </c>
      <c r="I58" s="30">
        <v>0.48680555555555555</v>
      </c>
      <c r="J58" s="30">
        <v>0.52500000000000002</v>
      </c>
    </row>
    <row r="59" spans="1:10" ht="25.2" x14ac:dyDescent="0.2">
      <c r="A59" s="22">
        <v>46126</v>
      </c>
      <c r="B59" s="22" t="s">
        <v>18</v>
      </c>
      <c r="C59" s="27" t="s">
        <v>125</v>
      </c>
      <c r="D59" s="27"/>
      <c r="E59" s="27" t="s">
        <v>33</v>
      </c>
      <c r="F59" s="27" t="s">
        <v>15</v>
      </c>
      <c r="G59" s="28" t="s">
        <v>239</v>
      </c>
      <c r="H59" s="29">
        <f>J59-I58</f>
        <v>0.17986111111111108</v>
      </c>
      <c r="I59" s="122">
        <v>0.56666666666666665</v>
      </c>
      <c r="J59" s="30">
        <v>0.66666666666666663</v>
      </c>
    </row>
    <row r="60" spans="1:10" ht="37.799999999999997" x14ac:dyDescent="0.2">
      <c r="A60" s="22">
        <v>46126</v>
      </c>
      <c r="B60" s="22" t="s">
        <v>18</v>
      </c>
      <c r="C60" s="27" t="s">
        <v>125</v>
      </c>
      <c r="D60" s="27"/>
      <c r="E60" s="27" t="s">
        <v>62</v>
      </c>
      <c r="F60" s="27" t="s">
        <v>15</v>
      </c>
      <c r="G60" s="28" t="s">
        <v>236</v>
      </c>
      <c r="H60" s="29">
        <f t="shared" si="1"/>
        <v>4.5138888888888951E-2</v>
      </c>
      <c r="I60" s="30">
        <v>0.66666666666666663</v>
      </c>
      <c r="J60" s="30">
        <v>0.71180555555555558</v>
      </c>
    </row>
    <row r="61" spans="1:10" ht="25.2" x14ac:dyDescent="0.2">
      <c r="A61" s="22">
        <v>46127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221</v>
      </c>
      <c r="H61" s="29">
        <f t="shared" si="1"/>
        <v>2.7777777777778234E-3</v>
      </c>
      <c r="I61" s="30">
        <v>0.33333333333333331</v>
      </c>
      <c r="J61" s="30">
        <v>0.33611111111111114</v>
      </c>
    </row>
    <row r="62" spans="1:10" ht="25.2" x14ac:dyDescent="0.2">
      <c r="A62" s="22">
        <v>46127</v>
      </c>
      <c r="B62" s="22" t="s">
        <v>19</v>
      </c>
      <c r="C62" s="27" t="s">
        <v>125</v>
      </c>
      <c r="D62" s="27"/>
      <c r="E62" s="27" t="s">
        <v>33</v>
      </c>
      <c r="F62" s="27" t="s">
        <v>15</v>
      </c>
      <c r="G62" s="28" t="s">
        <v>240</v>
      </c>
      <c r="H62" s="29">
        <f t="shared" si="1"/>
        <v>0.12222222222222218</v>
      </c>
      <c r="I62" s="30">
        <v>0.33611111111111114</v>
      </c>
      <c r="J62" s="30">
        <v>0.45833333333333331</v>
      </c>
    </row>
    <row r="63" spans="1:10" ht="37.799999999999997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241</v>
      </c>
      <c r="H63" s="29">
        <f t="shared" si="1"/>
        <v>2.083333333333337E-2</v>
      </c>
      <c r="I63" s="30">
        <v>0.45833333333333331</v>
      </c>
      <c r="J63" s="30">
        <v>0.47916666666666669</v>
      </c>
    </row>
    <row r="64" spans="1:10" ht="25.2" x14ac:dyDescent="0.2">
      <c r="A64" s="22">
        <v>46127</v>
      </c>
      <c r="B64" s="22" t="s">
        <v>19</v>
      </c>
      <c r="C64" s="27" t="s">
        <v>125</v>
      </c>
      <c r="D64" s="27"/>
      <c r="E64" s="27" t="s">
        <v>33</v>
      </c>
      <c r="F64" s="27" t="s">
        <v>15</v>
      </c>
      <c r="G64" s="28" t="s">
        <v>239</v>
      </c>
      <c r="H64" s="29">
        <f t="shared" si="1"/>
        <v>2.0833333333333315E-2</v>
      </c>
      <c r="I64" s="30">
        <v>0.47916666666666669</v>
      </c>
      <c r="J64" s="30">
        <v>0.5</v>
      </c>
    </row>
    <row r="65" spans="1:10" ht="25.2" x14ac:dyDescent="0.2">
      <c r="A65" s="22">
        <v>46127</v>
      </c>
      <c r="B65" s="22" t="s">
        <v>19</v>
      </c>
      <c r="C65" s="27" t="s">
        <v>125</v>
      </c>
      <c r="D65" s="27"/>
      <c r="E65" s="27" t="s">
        <v>33</v>
      </c>
      <c r="F65" s="27" t="s">
        <v>15</v>
      </c>
      <c r="G65" s="28" t="s">
        <v>239</v>
      </c>
      <c r="H65" s="29">
        <f t="shared" si="1"/>
        <v>0.125</v>
      </c>
      <c r="I65" s="30">
        <v>0.54166666666666663</v>
      </c>
      <c r="J65" s="30">
        <v>0.66666666666666663</v>
      </c>
    </row>
    <row r="66" spans="1:10" ht="37.799999999999997" x14ac:dyDescent="0.2">
      <c r="A66" s="22">
        <v>46127</v>
      </c>
      <c r="B66" s="22" t="s">
        <v>19</v>
      </c>
      <c r="C66" s="27" t="s">
        <v>125</v>
      </c>
      <c r="D66" s="27"/>
      <c r="E66" s="27" t="s">
        <v>62</v>
      </c>
      <c r="F66" s="27" t="s">
        <v>15</v>
      </c>
      <c r="G66" s="28" t="s">
        <v>236</v>
      </c>
      <c r="H66" s="29">
        <f t="shared" si="1"/>
        <v>7.986111111111116E-2</v>
      </c>
      <c r="I66" s="30">
        <v>0.66666666666666663</v>
      </c>
      <c r="J66" s="30">
        <v>0.74652777777777779</v>
      </c>
    </row>
    <row r="67" spans="1:10" ht="25.2" x14ac:dyDescent="0.2">
      <c r="A67" s="22">
        <v>46128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221</v>
      </c>
      <c r="H67" s="29">
        <f t="shared" si="1"/>
        <v>4.8611111111111494E-3</v>
      </c>
      <c r="I67" s="30">
        <v>0.33333333333333331</v>
      </c>
      <c r="J67" s="30">
        <v>0.33819444444444446</v>
      </c>
    </row>
    <row r="68" spans="1:10" ht="25.2" x14ac:dyDescent="0.2">
      <c r="A68" s="22">
        <v>46128</v>
      </c>
      <c r="B68" s="22" t="s">
        <v>20</v>
      </c>
      <c r="C68" s="27" t="s">
        <v>125</v>
      </c>
      <c r="D68" s="27"/>
      <c r="E68" s="27" t="s">
        <v>33</v>
      </c>
      <c r="F68" s="27" t="s">
        <v>15</v>
      </c>
      <c r="G68" s="28" t="s">
        <v>239</v>
      </c>
      <c r="H68" s="29">
        <f t="shared" si="1"/>
        <v>0.12013888888888885</v>
      </c>
      <c r="I68" s="30">
        <v>0.33819444444444446</v>
      </c>
      <c r="J68" s="30">
        <v>0.45833333333333331</v>
      </c>
    </row>
    <row r="69" spans="1:10" ht="37.799999999999997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241</v>
      </c>
      <c r="H69" s="29">
        <f t="shared" si="1"/>
        <v>2.6388888888888906E-2</v>
      </c>
      <c r="I69" s="30">
        <v>0.45833333333333331</v>
      </c>
      <c r="J69" s="30">
        <v>0.48472222222222222</v>
      </c>
    </row>
    <row r="70" spans="1:10" ht="25.2" x14ac:dyDescent="0.2">
      <c r="A70" s="22">
        <v>46128</v>
      </c>
      <c r="B70" s="22" t="s">
        <v>20</v>
      </c>
      <c r="C70" s="27" t="s">
        <v>125</v>
      </c>
      <c r="D70" s="27"/>
      <c r="E70" s="27" t="s">
        <v>33</v>
      </c>
      <c r="F70" s="27" t="s">
        <v>15</v>
      </c>
      <c r="G70" s="28" t="s">
        <v>239</v>
      </c>
      <c r="H70" s="29">
        <f t="shared" si="1"/>
        <v>1.5277777777777779E-2</v>
      </c>
      <c r="I70" s="30">
        <v>0.48472222222222222</v>
      </c>
      <c r="J70" s="30">
        <v>0.5</v>
      </c>
    </row>
    <row r="71" spans="1:10" ht="25.2" x14ac:dyDescent="0.2">
      <c r="A71" s="22">
        <v>46128</v>
      </c>
      <c r="B71" s="22" t="s">
        <v>20</v>
      </c>
      <c r="C71" s="27" t="s">
        <v>125</v>
      </c>
      <c r="D71" s="27"/>
      <c r="E71" s="27" t="s">
        <v>33</v>
      </c>
      <c r="F71" s="27" t="s">
        <v>15</v>
      </c>
      <c r="G71" s="28" t="s">
        <v>239</v>
      </c>
      <c r="H71" s="29">
        <f t="shared" si="1"/>
        <v>0.125</v>
      </c>
      <c r="I71" s="30">
        <v>0.54166666666666663</v>
      </c>
      <c r="J71" s="30">
        <v>0.66666666666666663</v>
      </c>
    </row>
    <row r="72" spans="1:10" ht="37.799999999999997" x14ac:dyDescent="0.2">
      <c r="A72" s="22">
        <v>46128</v>
      </c>
      <c r="B72" s="22" t="s">
        <v>20</v>
      </c>
      <c r="C72" s="27" t="s">
        <v>125</v>
      </c>
      <c r="D72" s="27"/>
      <c r="E72" s="27" t="s">
        <v>62</v>
      </c>
      <c r="F72" s="27" t="s">
        <v>15</v>
      </c>
      <c r="G72" s="28" t="s">
        <v>236</v>
      </c>
      <c r="H72" s="29">
        <f t="shared" si="1"/>
        <v>6.7361111111111094E-2</v>
      </c>
      <c r="I72" s="30">
        <v>0.66666666666666663</v>
      </c>
      <c r="J72" s="30">
        <v>0.73402777777777772</v>
      </c>
    </row>
    <row r="73" spans="1:10" ht="25.2" x14ac:dyDescent="0.2">
      <c r="A73" s="22">
        <v>46129</v>
      </c>
      <c r="B73" s="22" t="s">
        <v>11</v>
      </c>
      <c r="C73" s="27" t="s">
        <v>125</v>
      </c>
      <c r="D73" s="27"/>
      <c r="E73" s="27" t="s">
        <v>62</v>
      </c>
      <c r="F73" s="27" t="s">
        <v>15</v>
      </c>
      <c r="G73" s="28" t="s">
        <v>221</v>
      </c>
      <c r="H73" s="29">
        <f t="shared" si="1"/>
        <v>3.2638888888888884E-2</v>
      </c>
      <c r="I73" s="30">
        <v>0.33333333333333331</v>
      </c>
      <c r="J73" s="30">
        <v>0.3659722222222222</v>
      </c>
    </row>
    <row r="74" spans="1:10" ht="25.2" x14ac:dyDescent="0.2">
      <c r="A74" s="22">
        <v>46129</v>
      </c>
      <c r="B74" s="22" t="s">
        <v>11</v>
      </c>
      <c r="C74" s="27" t="s">
        <v>125</v>
      </c>
      <c r="D74" s="27"/>
      <c r="E74" s="27" t="s">
        <v>33</v>
      </c>
      <c r="F74" s="27" t="s">
        <v>15</v>
      </c>
      <c r="G74" s="28" t="s">
        <v>239</v>
      </c>
      <c r="H74" s="29">
        <f t="shared" si="1"/>
        <v>9.2361111111111116E-2</v>
      </c>
      <c r="I74" s="30">
        <v>0.3659722222222222</v>
      </c>
      <c r="J74" s="30">
        <v>0.45833333333333331</v>
      </c>
    </row>
    <row r="75" spans="1:10" ht="37.799999999999997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241</v>
      </c>
      <c r="H75" s="29">
        <f t="shared" si="1"/>
        <v>4.1666666666666685E-2</v>
      </c>
      <c r="I75" s="30">
        <v>0.45833333333333331</v>
      </c>
      <c r="J75" s="30">
        <v>0.5</v>
      </c>
    </row>
    <row r="76" spans="1:10" ht="25.2" x14ac:dyDescent="0.2">
      <c r="A76" s="22">
        <v>46129</v>
      </c>
      <c r="B76" s="22" t="s">
        <v>11</v>
      </c>
      <c r="C76" s="27" t="s">
        <v>125</v>
      </c>
      <c r="D76" s="27"/>
      <c r="E76" s="27" t="s">
        <v>33</v>
      </c>
      <c r="F76" s="27" t="s">
        <v>15</v>
      </c>
      <c r="G76" s="28" t="s">
        <v>239</v>
      </c>
      <c r="H76" s="29">
        <f t="shared" si="1"/>
        <v>0.125</v>
      </c>
      <c r="I76" s="30">
        <v>0.54166666666666663</v>
      </c>
      <c r="J76" s="30">
        <v>0.66666666666666663</v>
      </c>
    </row>
    <row r="77" spans="1:10" ht="25.2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242</v>
      </c>
      <c r="H77" s="29">
        <f t="shared" si="1"/>
        <v>2.430555555555558E-2</v>
      </c>
      <c r="I77" s="30">
        <v>0.66666666666666663</v>
      </c>
      <c r="J77" s="30">
        <v>0.69097222222222221</v>
      </c>
    </row>
    <row r="78" spans="1:10" x14ac:dyDescent="0.2">
      <c r="A78" s="31">
        <v>46130</v>
      </c>
      <c r="B78" s="31" t="s">
        <v>14</v>
      </c>
      <c r="C78" s="32"/>
      <c r="D78" s="32"/>
      <c r="E78" s="32"/>
      <c r="F78" s="32"/>
      <c r="G78" s="33"/>
      <c r="H78" s="34">
        <f t="shared" si="1"/>
        <v>0</v>
      </c>
      <c r="I78" s="35"/>
      <c r="J78" s="35"/>
    </row>
    <row r="79" spans="1:10" x14ac:dyDescent="0.2">
      <c r="A79" s="31">
        <v>46131</v>
      </c>
      <c r="B79" s="31" t="s">
        <v>16</v>
      </c>
      <c r="C79" s="32"/>
      <c r="D79" s="32"/>
      <c r="E79" s="32"/>
      <c r="F79" s="32"/>
      <c r="G79" s="33"/>
      <c r="H79" s="34">
        <f t="shared" si="1"/>
        <v>0</v>
      </c>
      <c r="I79" s="35"/>
      <c r="J79" s="35"/>
    </row>
    <row r="80" spans="1:10" ht="25.2" x14ac:dyDescent="0.2">
      <c r="A80" s="22">
        <v>46132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8" t="s">
        <v>221</v>
      </c>
      <c r="H80" s="29">
        <f t="shared" si="1"/>
        <v>4.8611111111111494E-3</v>
      </c>
      <c r="I80" s="30">
        <v>0.33333333333333331</v>
      </c>
      <c r="J80" s="30">
        <v>0.33819444444444446</v>
      </c>
    </row>
    <row r="81" spans="1:10" ht="25.2" x14ac:dyDescent="0.2">
      <c r="A81" s="22">
        <v>46132</v>
      </c>
      <c r="B81" s="22" t="s">
        <v>17</v>
      </c>
      <c r="C81" s="27" t="s">
        <v>125</v>
      </c>
      <c r="D81" s="27"/>
      <c r="E81" s="27" t="s">
        <v>33</v>
      </c>
      <c r="F81" s="27" t="s">
        <v>15</v>
      </c>
      <c r="G81" s="28" t="s">
        <v>230</v>
      </c>
      <c r="H81" s="29">
        <f t="shared" si="1"/>
        <v>0.12013888888888885</v>
      </c>
      <c r="I81" s="30">
        <v>0.33819444444444446</v>
      </c>
      <c r="J81" s="30">
        <v>0.45833333333333331</v>
      </c>
    </row>
    <row r="82" spans="1:10" ht="25.2" x14ac:dyDescent="0.2">
      <c r="A82" s="22">
        <v>46132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244</v>
      </c>
      <c r="H82" s="29">
        <f t="shared" si="1"/>
        <v>2.7777777777778234E-3</v>
      </c>
      <c r="I82" s="30">
        <v>0.45833333333333331</v>
      </c>
      <c r="J82" s="30">
        <v>0.46111111111111114</v>
      </c>
    </row>
    <row r="83" spans="1:10" ht="25.2" x14ac:dyDescent="0.2">
      <c r="A83" s="22">
        <v>46132</v>
      </c>
      <c r="B83" s="22" t="s">
        <v>17</v>
      </c>
      <c r="C83" s="27" t="s">
        <v>125</v>
      </c>
      <c r="D83" s="27"/>
      <c r="E83" s="27" t="s">
        <v>33</v>
      </c>
      <c r="F83" s="27" t="s">
        <v>15</v>
      </c>
      <c r="G83" s="28" t="s">
        <v>230</v>
      </c>
      <c r="H83" s="29">
        <f t="shared" si="1"/>
        <v>4.2361111111111072E-2</v>
      </c>
      <c r="I83" s="30">
        <v>0.46111111111111114</v>
      </c>
      <c r="J83" s="30">
        <v>0.50347222222222221</v>
      </c>
    </row>
    <row r="84" spans="1:10" ht="37.799999999999997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243</v>
      </c>
      <c r="H84" s="29">
        <f t="shared" si="1"/>
        <v>0.125</v>
      </c>
      <c r="I84" s="30">
        <v>0.54166666666666663</v>
      </c>
      <c r="J84" s="30">
        <v>0.66666666666666663</v>
      </c>
    </row>
    <row r="85" spans="1:10" ht="37.799999999999997" x14ac:dyDescent="0.2">
      <c r="A85" s="22">
        <v>46132</v>
      </c>
      <c r="B85" s="22" t="s">
        <v>17</v>
      </c>
      <c r="C85" s="27" t="s">
        <v>125</v>
      </c>
      <c r="D85" s="27"/>
      <c r="E85" s="27" t="s">
        <v>62</v>
      </c>
      <c r="F85" s="27" t="s">
        <v>15</v>
      </c>
      <c r="G85" s="28" t="s">
        <v>245</v>
      </c>
      <c r="H85" s="29">
        <f t="shared" si="1"/>
        <v>5.0694444444444486E-2</v>
      </c>
      <c r="I85" s="30">
        <v>0.66666666666666663</v>
      </c>
      <c r="J85" s="30">
        <v>0.71736111111111112</v>
      </c>
    </row>
    <row r="86" spans="1:10" ht="25.2" x14ac:dyDescent="0.2">
      <c r="A86" s="22">
        <v>46133</v>
      </c>
      <c r="B86" s="22" t="s">
        <v>18</v>
      </c>
      <c r="C86" s="27" t="s">
        <v>125</v>
      </c>
      <c r="D86" s="27"/>
      <c r="E86" s="27" t="s">
        <v>62</v>
      </c>
      <c r="F86" s="27" t="s">
        <v>15</v>
      </c>
      <c r="G86" s="28" t="s">
        <v>221</v>
      </c>
      <c r="H86" s="29">
        <f t="shared" si="1"/>
        <v>5.5555555555555913E-3</v>
      </c>
      <c r="I86" s="30">
        <v>0.33333333333333331</v>
      </c>
      <c r="J86" s="30">
        <v>0.33888888888888891</v>
      </c>
    </row>
    <row r="87" spans="1:10" ht="25.2" x14ac:dyDescent="0.2">
      <c r="A87" s="22">
        <v>46133</v>
      </c>
      <c r="B87" s="22" t="s">
        <v>18</v>
      </c>
      <c r="C87" s="27" t="s">
        <v>125</v>
      </c>
      <c r="D87" s="27"/>
      <c r="E87" s="27" t="s">
        <v>33</v>
      </c>
      <c r="F87" s="27" t="s">
        <v>15</v>
      </c>
      <c r="G87" s="28" t="s">
        <v>230</v>
      </c>
      <c r="H87" s="29">
        <f t="shared" si="1"/>
        <v>0.11944444444444441</v>
      </c>
      <c r="I87" s="30">
        <v>0.33888888888888891</v>
      </c>
      <c r="J87" s="30">
        <v>0.45833333333333331</v>
      </c>
    </row>
    <row r="88" spans="1:10" ht="37.799999999999997" x14ac:dyDescent="0.2">
      <c r="A88" s="22">
        <v>46133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243</v>
      </c>
      <c r="H88" s="29">
        <f t="shared" si="1"/>
        <v>3.9583333333333359E-2</v>
      </c>
      <c r="I88" s="30">
        <v>0.45833333333333331</v>
      </c>
      <c r="J88" s="30">
        <v>0.49791666666666667</v>
      </c>
    </row>
    <row r="89" spans="1:10" ht="25.2" x14ac:dyDescent="0.2">
      <c r="A89" s="22">
        <v>46133</v>
      </c>
      <c r="B89" s="22" t="s">
        <v>18</v>
      </c>
      <c r="C89" s="27" t="s">
        <v>125</v>
      </c>
      <c r="D89" s="27"/>
      <c r="E89" s="27" t="s">
        <v>33</v>
      </c>
      <c r="F89" s="27" t="s">
        <v>15</v>
      </c>
      <c r="G89" s="28" t="s">
        <v>230</v>
      </c>
      <c r="H89" s="29">
        <f t="shared" si="1"/>
        <v>0.125</v>
      </c>
      <c r="I89" s="30">
        <v>0.54166666666666663</v>
      </c>
      <c r="J89" s="30">
        <v>0.66666666666666663</v>
      </c>
    </row>
    <row r="90" spans="1:10" ht="37.799999999999997" x14ac:dyDescent="0.2">
      <c r="A90" s="22">
        <v>46133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243</v>
      </c>
      <c r="H90" s="29">
        <f t="shared" si="1"/>
        <v>4.5138888888888951E-2</v>
      </c>
      <c r="I90" s="30">
        <v>0.66666666666666663</v>
      </c>
      <c r="J90" s="30">
        <v>0.71180555555555558</v>
      </c>
    </row>
    <row r="91" spans="1:10" ht="25.2" x14ac:dyDescent="0.2">
      <c r="A91" s="22">
        <v>46134</v>
      </c>
      <c r="B91" s="22" t="s">
        <v>19</v>
      </c>
      <c r="C91" s="27" t="s">
        <v>125</v>
      </c>
      <c r="D91" s="27"/>
      <c r="E91" s="27" t="s">
        <v>62</v>
      </c>
      <c r="F91" s="27" t="s">
        <v>15</v>
      </c>
      <c r="G91" s="28" t="s">
        <v>221</v>
      </c>
      <c r="H91" s="29">
        <f t="shared" si="1"/>
        <v>2.7777777777778234E-3</v>
      </c>
      <c r="I91" s="30">
        <v>0.33333333333333331</v>
      </c>
      <c r="J91" s="30">
        <v>0.33611111111111114</v>
      </c>
    </row>
    <row r="92" spans="1:10" x14ac:dyDescent="0.2">
      <c r="A92" s="22">
        <v>46134</v>
      </c>
      <c r="B92" s="22" t="s">
        <v>19</v>
      </c>
      <c r="C92" s="27" t="s">
        <v>125</v>
      </c>
      <c r="D92" s="27"/>
      <c r="E92" s="27" t="s">
        <v>33</v>
      </c>
      <c r="F92" s="27" t="s">
        <v>15</v>
      </c>
      <c r="G92" s="27" t="s">
        <v>230</v>
      </c>
      <c r="H92" s="29">
        <f t="shared" si="1"/>
        <v>0.12222222222222218</v>
      </c>
      <c r="I92" s="30">
        <v>0.33611111111111114</v>
      </c>
      <c r="J92" s="30">
        <v>0.45833333333333331</v>
      </c>
    </row>
    <row r="93" spans="1:10" x14ac:dyDescent="0.2">
      <c r="A93" s="22">
        <v>46134</v>
      </c>
      <c r="B93" s="22" t="s">
        <v>19</v>
      </c>
      <c r="C93" s="27" t="s">
        <v>125</v>
      </c>
      <c r="D93" s="27"/>
      <c r="E93" s="27" t="s">
        <v>62</v>
      </c>
      <c r="F93" s="27" t="s">
        <v>15</v>
      </c>
      <c r="G93" s="27" t="s">
        <v>243</v>
      </c>
      <c r="H93" s="29">
        <f t="shared" si="1"/>
        <v>5.2083333333333315E-2</v>
      </c>
      <c r="I93" s="30">
        <v>0.45833333333333331</v>
      </c>
      <c r="J93" s="30">
        <v>0.51041666666666663</v>
      </c>
    </row>
    <row r="94" spans="1:10" x14ac:dyDescent="0.2">
      <c r="A94" s="22">
        <v>46134</v>
      </c>
      <c r="B94" s="22" t="s">
        <v>19</v>
      </c>
      <c r="C94" s="27" t="s">
        <v>125</v>
      </c>
      <c r="D94" s="27"/>
      <c r="E94" s="27" t="s">
        <v>33</v>
      </c>
      <c r="F94" s="27" t="s">
        <v>15</v>
      </c>
      <c r="G94" s="27" t="s">
        <v>230</v>
      </c>
      <c r="H94" s="29">
        <f t="shared" si="1"/>
        <v>0.10416666666666663</v>
      </c>
      <c r="I94" s="30">
        <v>0.5625</v>
      </c>
      <c r="J94" s="30">
        <v>0.66666666666666663</v>
      </c>
    </row>
    <row r="95" spans="1:10" x14ac:dyDescent="0.2">
      <c r="A95" s="22">
        <v>46134</v>
      </c>
      <c r="B95" s="22" t="s">
        <v>19</v>
      </c>
      <c r="C95" s="27" t="s">
        <v>125</v>
      </c>
      <c r="D95" s="27"/>
      <c r="E95" s="27" t="s">
        <v>62</v>
      </c>
      <c r="F95" s="27" t="s">
        <v>15</v>
      </c>
      <c r="G95" s="27" t="s">
        <v>245</v>
      </c>
      <c r="H95" s="29">
        <f t="shared" si="1"/>
        <v>4.861111111111116E-2</v>
      </c>
      <c r="I95" s="30">
        <v>0.66666666666666663</v>
      </c>
      <c r="J95" s="30">
        <v>0.71527777777777779</v>
      </c>
    </row>
    <row r="96" spans="1:10" ht="25.2" x14ac:dyDescent="0.2">
      <c r="A96" s="22">
        <v>46135</v>
      </c>
      <c r="B96" s="22" t="s">
        <v>20</v>
      </c>
      <c r="C96" s="27" t="s">
        <v>125</v>
      </c>
      <c r="D96" s="27"/>
      <c r="E96" s="27" t="s">
        <v>62</v>
      </c>
      <c r="F96" s="27" t="s">
        <v>15</v>
      </c>
      <c r="G96" s="28" t="s">
        <v>221</v>
      </c>
      <c r="H96" s="29">
        <f t="shared" si="1"/>
        <v>2.7777777777778234E-3</v>
      </c>
      <c r="I96" s="30">
        <v>0.33333333333333331</v>
      </c>
      <c r="J96" s="30">
        <v>0.33611111111111114</v>
      </c>
    </row>
    <row r="97" spans="1:10" ht="25.2" x14ac:dyDescent="0.2">
      <c r="A97" s="22">
        <v>46135</v>
      </c>
      <c r="B97" s="22" t="s">
        <v>20</v>
      </c>
      <c r="C97" s="27" t="s">
        <v>125</v>
      </c>
      <c r="D97" s="27"/>
      <c r="E97" s="27" t="s">
        <v>33</v>
      </c>
      <c r="F97" s="27" t="s">
        <v>15</v>
      </c>
      <c r="G97" s="28" t="s">
        <v>230</v>
      </c>
      <c r="H97" s="29">
        <f t="shared" si="1"/>
        <v>0.12222222222222218</v>
      </c>
      <c r="I97" s="30">
        <v>0.33611111111111114</v>
      </c>
      <c r="J97" s="30">
        <v>0.45833333333333331</v>
      </c>
    </row>
    <row r="98" spans="1:10" ht="37.799999999999997" x14ac:dyDescent="0.2">
      <c r="A98" s="22">
        <v>46135</v>
      </c>
      <c r="B98" s="22" t="s">
        <v>20</v>
      </c>
      <c r="C98" s="27" t="s">
        <v>125</v>
      </c>
      <c r="D98" s="27"/>
      <c r="E98" s="27" t="s">
        <v>62</v>
      </c>
      <c r="F98" s="27" t="s">
        <v>15</v>
      </c>
      <c r="G98" s="28" t="s">
        <v>243</v>
      </c>
      <c r="H98" s="29">
        <f t="shared" si="1"/>
        <v>4.9305555555555547E-2</v>
      </c>
      <c r="I98" s="30">
        <v>0.45833333333333331</v>
      </c>
      <c r="J98" s="30">
        <v>0.50763888888888886</v>
      </c>
    </row>
    <row r="99" spans="1:10" ht="25.2" x14ac:dyDescent="0.2">
      <c r="A99" s="22">
        <v>46135</v>
      </c>
      <c r="B99" s="22" t="s">
        <v>20</v>
      </c>
      <c r="C99" s="27" t="s">
        <v>125</v>
      </c>
      <c r="D99" s="27"/>
      <c r="E99" s="27" t="s">
        <v>33</v>
      </c>
      <c r="F99" s="27" t="s">
        <v>15</v>
      </c>
      <c r="G99" s="28" t="s">
        <v>230</v>
      </c>
      <c r="H99" s="29">
        <f t="shared" si="1"/>
        <v>0.10069444444444442</v>
      </c>
      <c r="I99" s="30">
        <v>0.56597222222222221</v>
      </c>
      <c r="J99" s="30">
        <v>0.66666666666666663</v>
      </c>
    </row>
    <row r="100" spans="1:10" ht="37.799999999999997" x14ac:dyDescent="0.2">
      <c r="A100" s="22">
        <v>46135</v>
      </c>
      <c r="B100" s="22" t="s">
        <v>20</v>
      </c>
      <c r="C100" s="27" t="s">
        <v>125</v>
      </c>
      <c r="D100" s="27"/>
      <c r="E100" s="27" t="s">
        <v>33</v>
      </c>
      <c r="F100" s="27" t="s">
        <v>15</v>
      </c>
      <c r="G100" s="28" t="s">
        <v>245</v>
      </c>
      <c r="H100" s="29">
        <f t="shared" si="1"/>
        <v>3.6805555555555647E-2</v>
      </c>
      <c r="I100" s="30">
        <v>0.66666666666666663</v>
      </c>
      <c r="J100" s="30">
        <v>0.70347222222222228</v>
      </c>
    </row>
    <row r="101" spans="1:10" ht="25.2" x14ac:dyDescent="0.2">
      <c r="A101" s="22">
        <v>46135</v>
      </c>
      <c r="B101" s="22" t="s">
        <v>246</v>
      </c>
      <c r="C101" s="27" t="s">
        <v>125</v>
      </c>
      <c r="D101" s="27"/>
      <c r="E101" s="27" t="s">
        <v>62</v>
      </c>
      <c r="F101" s="27" t="s">
        <v>15</v>
      </c>
      <c r="G101" s="28" t="s">
        <v>247</v>
      </c>
      <c r="H101" s="29">
        <f t="shared" si="1"/>
        <v>3.125E-2</v>
      </c>
      <c r="I101" s="30">
        <v>0.70347222222222228</v>
      </c>
      <c r="J101" s="30">
        <v>0.73472222222222228</v>
      </c>
    </row>
    <row r="102" spans="1:10" ht="25.2" x14ac:dyDescent="0.2">
      <c r="A102" s="22">
        <v>46136</v>
      </c>
      <c r="B102" s="22" t="s">
        <v>11</v>
      </c>
      <c r="C102" s="27" t="s">
        <v>125</v>
      </c>
      <c r="D102" s="27"/>
      <c r="E102" s="27" t="s">
        <v>62</v>
      </c>
      <c r="F102" s="27" t="s">
        <v>15</v>
      </c>
      <c r="G102" s="28" t="s">
        <v>221</v>
      </c>
      <c r="H102" s="29">
        <f t="shared" si="1"/>
        <v>9.0277777777778012E-3</v>
      </c>
      <c r="I102" s="30">
        <v>0.33333333333333331</v>
      </c>
      <c r="J102" s="30">
        <v>0.34236111111111112</v>
      </c>
    </row>
    <row r="103" spans="1:10" ht="25.2" x14ac:dyDescent="0.2">
      <c r="A103" s="22">
        <v>46136</v>
      </c>
      <c r="B103" s="22" t="s">
        <v>11</v>
      </c>
      <c r="C103" s="27" t="s">
        <v>125</v>
      </c>
      <c r="D103" s="27"/>
      <c r="E103" s="27" t="s">
        <v>33</v>
      </c>
      <c r="F103" s="27" t="s">
        <v>15</v>
      </c>
      <c r="G103" s="28" t="s">
        <v>230</v>
      </c>
      <c r="H103" s="29">
        <f t="shared" si="1"/>
        <v>0.1159722222222222</v>
      </c>
      <c r="I103" s="30">
        <v>0.34236111111111112</v>
      </c>
      <c r="J103" s="30">
        <v>0.45833333333333331</v>
      </c>
    </row>
    <row r="104" spans="1:10" ht="37.799999999999997" x14ac:dyDescent="0.2">
      <c r="A104" s="22">
        <v>46136</v>
      </c>
      <c r="B104" s="22" t="s">
        <v>11</v>
      </c>
      <c r="C104" s="27" t="s">
        <v>125</v>
      </c>
      <c r="D104" s="27"/>
      <c r="E104" s="27" t="s">
        <v>62</v>
      </c>
      <c r="F104" s="27" t="s">
        <v>15</v>
      </c>
      <c r="G104" s="28" t="s">
        <v>248</v>
      </c>
      <c r="H104" s="29">
        <f t="shared" si="1"/>
        <v>3.4027777777777823E-2</v>
      </c>
      <c r="I104" s="30">
        <v>0.45833333333333331</v>
      </c>
      <c r="J104" s="30">
        <v>0.49236111111111114</v>
      </c>
    </row>
    <row r="105" spans="1:10" ht="25.2" x14ac:dyDescent="0.2">
      <c r="A105" s="22">
        <v>46136</v>
      </c>
      <c r="B105" s="22" t="s">
        <v>11</v>
      </c>
      <c r="C105" s="27" t="s">
        <v>125</v>
      </c>
      <c r="D105" s="27"/>
      <c r="E105" s="27" t="s">
        <v>33</v>
      </c>
      <c r="F105" s="27" t="s">
        <v>15</v>
      </c>
      <c r="G105" s="28" t="s">
        <v>230</v>
      </c>
      <c r="H105" s="29">
        <f t="shared" si="1"/>
        <v>2.8472222222222232E-2</v>
      </c>
      <c r="I105" s="30">
        <v>0.49236111111111114</v>
      </c>
      <c r="J105" s="30">
        <v>0.52083333333333337</v>
      </c>
    </row>
    <row r="106" spans="1:10" ht="25.2" x14ac:dyDescent="0.2">
      <c r="A106" s="22">
        <v>46136</v>
      </c>
      <c r="B106" s="22" t="s">
        <v>11</v>
      </c>
      <c r="C106" s="27" t="s">
        <v>125</v>
      </c>
      <c r="D106" s="27"/>
      <c r="E106" s="27" t="s">
        <v>33</v>
      </c>
      <c r="F106" s="27" t="s">
        <v>15</v>
      </c>
      <c r="G106" s="28" t="s">
        <v>230</v>
      </c>
      <c r="H106" s="29">
        <f t="shared" si="1"/>
        <v>4.0972222222222188E-2</v>
      </c>
      <c r="I106" s="30">
        <v>0.56319444444444444</v>
      </c>
      <c r="J106" s="30">
        <v>0.60416666666666663</v>
      </c>
    </row>
    <row r="107" spans="1:10" ht="37.799999999999997" x14ac:dyDescent="0.2">
      <c r="A107" s="22">
        <v>46136</v>
      </c>
      <c r="B107" s="22" t="s">
        <v>11</v>
      </c>
      <c r="C107" s="27" t="s">
        <v>125</v>
      </c>
      <c r="D107" s="27"/>
      <c r="E107" s="27" t="s">
        <v>62</v>
      </c>
      <c r="F107" s="27" t="s">
        <v>15</v>
      </c>
      <c r="G107" s="28" t="s">
        <v>249</v>
      </c>
      <c r="H107" s="29">
        <f t="shared" si="1"/>
        <v>5.5555555555556468E-3</v>
      </c>
      <c r="I107" s="30">
        <v>0.60416666666666663</v>
      </c>
      <c r="J107" s="30">
        <v>0.60972222222222228</v>
      </c>
    </row>
    <row r="108" spans="1:10" ht="25.2" x14ac:dyDescent="0.2">
      <c r="A108" s="22">
        <v>46136</v>
      </c>
      <c r="B108" s="22" t="s">
        <v>11</v>
      </c>
      <c r="C108" s="27" t="s">
        <v>125</v>
      </c>
      <c r="D108" s="27"/>
      <c r="E108" s="27" t="s">
        <v>33</v>
      </c>
      <c r="F108" s="27" t="s">
        <v>15</v>
      </c>
      <c r="G108" s="28" t="s">
        <v>250</v>
      </c>
      <c r="H108" s="29">
        <f t="shared" si="1"/>
        <v>5.6944444444444353E-2</v>
      </c>
      <c r="I108" s="30">
        <v>0.60972222222222228</v>
      </c>
      <c r="J108" s="30">
        <v>0.66666666666666663</v>
      </c>
    </row>
    <row r="109" spans="1:10" ht="25.2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251</v>
      </c>
      <c r="H109" s="29">
        <f t="shared" si="1"/>
        <v>6.25E-2</v>
      </c>
      <c r="I109" s="30">
        <v>0.66666666666666663</v>
      </c>
      <c r="J109" s="30">
        <v>0.72916666666666663</v>
      </c>
    </row>
    <row r="110" spans="1:10" x14ac:dyDescent="0.2">
      <c r="A110" s="31">
        <v>46137</v>
      </c>
      <c r="B110" s="31" t="s">
        <v>14</v>
      </c>
      <c r="C110" s="32"/>
      <c r="D110" s="32"/>
      <c r="E110" s="32"/>
      <c r="F110" s="32"/>
      <c r="G110" s="33"/>
      <c r="H110" s="34">
        <f t="shared" si="1"/>
        <v>0</v>
      </c>
      <c r="I110" s="35"/>
      <c r="J110" s="35"/>
    </row>
    <row r="111" spans="1:10" x14ac:dyDescent="0.2">
      <c r="A111" s="31">
        <v>46138</v>
      </c>
      <c r="B111" s="31" t="s">
        <v>16</v>
      </c>
      <c r="C111" s="32"/>
      <c r="D111" s="32"/>
      <c r="E111" s="32"/>
      <c r="F111" s="32"/>
      <c r="G111" s="33"/>
      <c r="H111" s="34">
        <f t="shared" si="1"/>
        <v>0</v>
      </c>
      <c r="I111" s="35"/>
      <c r="J111" s="35"/>
    </row>
    <row r="112" spans="1:10" x14ac:dyDescent="0.2">
      <c r="A112" s="47">
        <v>46139</v>
      </c>
      <c r="B112" s="47" t="s">
        <v>17</v>
      </c>
      <c r="C112" s="48" t="s">
        <v>125</v>
      </c>
      <c r="D112" s="48"/>
      <c r="E112" s="48" t="s">
        <v>89</v>
      </c>
      <c r="F112" s="48" t="s">
        <v>15</v>
      </c>
      <c r="G112" s="49" t="s">
        <v>179</v>
      </c>
      <c r="H112" s="50">
        <f t="shared" si="1"/>
        <v>0.33333333333333331</v>
      </c>
      <c r="I112" s="51">
        <v>0.33333333333333331</v>
      </c>
      <c r="J112" s="51">
        <v>0.66666666666666663</v>
      </c>
    </row>
    <row r="113" spans="1:10" ht="25.2" x14ac:dyDescent="0.2">
      <c r="A113" s="22">
        <v>46140</v>
      </c>
      <c r="B113" s="22" t="s">
        <v>18</v>
      </c>
      <c r="C113" s="27" t="s">
        <v>125</v>
      </c>
      <c r="D113" s="27"/>
      <c r="E113" s="27" t="s">
        <v>62</v>
      </c>
      <c r="F113" s="27" t="s">
        <v>15</v>
      </c>
      <c r="G113" s="28" t="s">
        <v>221</v>
      </c>
      <c r="H113" s="29">
        <f t="shared" si="1"/>
        <v>4.1666666666667074E-3</v>
      </c>
      <c r="I113" s="30">
        <v>0.33333333333333331</v>
      </c>
      <c r="J113" s="30">
        <v>0.33750000000000002</v>
      </c>
    </row>
    <row r="114" spans="1:10" ht="37.799999999999997" x14ac:dyDescent="0.2">
      <c r="A114" s="22">
        <v>46140</v>
      </c>
      <c r="B114" s="22" t="s">
        <v>18</v>
      </c>
      <c r="C114" s="27" t="s">
        <v>125</v>
      </c>
      <c r="D114" s="27"/>
      <c r="E114" s="27" t="s">
        <v>33</v>
      </c>
      <c r="F114" s="27" t="s">
        <v>15</v>
      </c>
      <c r="G114" s="28" t="s">
        <v>253</v>
      </c>
      <c r="H114" s="29">
        <f t="shared" si="1"/>
        <v>0.125</v>
      </c>
      <c r="I114" s="30">
        <v>0.33333333333333331</v>
      </c>
      <c r="J114" s="30">
        <v>0.45833333333333331</v>
      </c>
    </row>
    <row r="115" spans="1:10" ht="37.799999999999997" x14ac:dyDescent="0.2">
      <c r="A115" s="22">
        <v>46140</v>
      </c>
      <c r="B115" s="22" t="s">
        <v>18</v>
      </c>
      <c r="C115" s="27" t="s">
        <v>125</v>
      </c>
      <c r="D115" s="27"/>
      <c r="E115" s="27" t="s">
        <v>62</v>
      </c>
      <c r="F115" s="27" t="s">
        <v>15</v>
      </c>
      <c r="G115" s="28" t="s">
        <v>243</v>
      </c>
      <c r="H115" s="29">
        <f t="shared" si="1"/>
        <v>4.3055555555555569E-2</v>
      </c>
      <c r="I115" s="30">
        <v>0.45833333333333331</v>
      </c>
      <c r="J115" s="30">
        <v>0.50138888888888888</v>
      </c>
    </row>
    <row r="116" spans="1:10" ht="37.799999999999997" x14ac:dyDescent="0.2">
      <c r="A116" s="22">
        <v>46140</v>
      </c>
      <c r="B116" s="22" t="s">
        <v>18</v>
      </c>
      <c r="C116" s="27" t="s">
        <v>125</v>
      </c>
      <c r="D116" s="27"/>
      <c r="E116" s="27" t="s">
        <v>33</v>
      </c>
      <c r="F116" s="27" t="s">
        <v>15</v>
      </c>
      <c r="G116" s="28" t="s">
        <v>252</v>
      </c>
      <c r="H116" s="29">
        <f t="shared" si="1"/>
        <v>5.902777777777779E-2</v>
      </c>
      <c r="I116" s="30">
        <v>0.54513888888888884</v>
      </c>
      <c r="J116" s="30">
        <v>0.60416666666666663</v>
      </c>
    </row>
    <row r="117" spans="1:10" ht="37.799999999999997" x14ac:dyDescent="0.2">
      <c r="A117" s="22">
        <v>46140</v>
      </c>
      <c r="B117" s="22" t="s">
        <v>18</v>
      </c>
      <c r="C117" s="27" t="s">
        <v>125</v>
      </c>
      <c r="D117" s="27"/>
      <c r="E117" s="27" t="s">
        <v>62</v>
      </c>
      <c r="F117" s="27" t="s">
        <v>15</v>
      </c>
      <c r="G117" s="28" t="s">
        <v>249</v>
      </c>
      <c r="H117" s="29">
        <f t="shared" si="1"/>
        <v>6.25E-2</v>
      </c>
      <c r="I117" s="30">
        <v>0.60416666666666663</v>
      </c>
      <c r="J117" s="30">
        <v>0.66666666666666663</v>
      </c>
    </row>
    <row r="118" spans="1:10" ht="37.799999999999997" x14ac:dyDescent="0.2">
      <c r="A118" s="22">
        <v>46140</v>
      </c>
      <c r="B118" s="22" t="s">
        <v>18</v>
      </c>
      <c r="C118" s="27" t="s">
        <v>125</v>
      </c>
      <c r="D118" s="27"/>
      <c r="E118" s="27" t="s">
        <v>62</v>
      </c>
      <c r="F118" s="27" t="s">
        <v>15</v>
      </c>
      <c r="G118" s="28" t="s">
        <v>245</v>
      </c>
      <c r="H118" s="29">
        <f t="shared" si="1"/>
        <v>4.5138888888888951E-2</v>
      </c>
      <c r="I118" s="30">
        <v>0.66666666666666663</v>
      </c>
      <c r="J118" s="30">
        <v>0.71180555555555558</v>
      </c>
    </row>
    <row r="119" spans="1:10" ht="25.2" x14ac:dyDescent="0.2">
      <c r="A119" s="22">
        <v>46141</v>
      </c>
      <c r="B119" s="22" t="s">
        <v>19</v>
      </c>
      <c r="C119" s="27" t="s">
        <v>125</v>
      </c>
      <c r="D119" s="27"/>
      <c r="E119" s="27" t="s">
        <v>62</v>
      </c>
      <c r="F119" s="27" t="s">
        <v>15</v>
      </c>
      <c r="G119" s="28" t="s">
        <v>221</v>
      </c>
      <c r="H119" s="29">
        <f t="shared" si="1"/>
        <v>1.3194444444444453E-2</v>
      </c>
      <c r="I119" s="30">
        <v>0.33333333333333331</v>
      </c>
      <c r="J119" s="30">
        <v>0.34652777777777777</v>
      </c>
    </row>
    <row r="120" spans="1:10" ht="25.2" x14ac:dyDescent="0.2">
      <c r="A120" s="22">
        <v>46141</v>
      </c>
      <c r="B120" s="22" t="s">
        <v>19</v>
      </c>
      <c r="C120" s="27" t="s">
        <v>125</v>
      </c>
      <c r="D120" s="27"/>
      <c r="E120" s="27" t="s">
        <v>33</v>
      </c>
      <c r="F120" s="27" t="s">
        <v>15</v>
      </c>
      <c r="G120" s="28" t="s">
        <v>255</v>
      </c>
      <c r="H120" s="29">
        <f t="shared" si="1"/>
        <v>4.9305555555555547E-2</v>
      </c>
      <c r="I120" s="30">
        <v>0.34652777777777777</v>
      </c>
      <c r="J120" s="30">
        <v>0.39583333333333331</v>
      </c>
    </row>
    <row r="121" spans="1:10" ht="37.799999999999997" x14ac:dyDescent="0.2">
      <c r="A121" s="22">
        <v>46141</v>
      </c>
      <c r="B121" s="22" t="s">
        <v>19</v>
      </c>
      <c r="C121" s="27" t="s">
        <v>125</v>
      </c>
      <c r="D121" s="27"/>
      <c r="E121" s="27" t="s">
        <v>62</v>
      </c>
      <c r="F121" s="27" t="s">
        <v>15</v>
      </c>
      <c r="G121" s="28" t="s">
        <v>249</v>
      </c>
      <c r="H121" s="29">
        <f t="shared" si="1"/>
        <v>5.7638888888888906E-2</v>
      </c>
      <c r="I121" s="30">
        <v>0.39583333333333331</v>
      </c>
      <c r="J121" s="30">
        <v>0.45347222222222222</v>
      </c>
    </row>
    <row r="122" spans="1:10" ht="25.2" x14ac:dyDescent="0.2">
      <c r="A122" s="22">
        <v>46141</v>
      </c>
      <c r="B122" s="22" t="s">
        <v>19</v>
      </c>
      <c r="C122" s="27" t="s">
        <v>125</v>
      </c>
      <c r="D122" s="27"/>
      <c r="E122" s="27" t="s">
        <v>62</v>
      </c>
      <c r="F122" s="27" t="s">
        <v>15</v>
      </c>
      <c r="G122" s="28" t="s">
        <v>244</v>
      </c>
      <c r="H122" s="29">
        <f t="shared" si="1"/>
        <v>3.3333333333333326E-2</v>
      </c>
      <c r="I122" s="30">
        <v>0.45833333333333331</v>
      </c>
      <c r="J122" s="30">
        <v>0.49166666666666664</v>
      </c>
    </row>
    <row r="123" spans="1:10" ht="25.2" x14ac:dyDescent="0.2">
      <c r="A123" s="22">
        <v>46141</v>
      </c>
      <c r="B123" s="22" t="s">
        <v>19</v>
      </c>
      <c r="C123" s="27" t="s">
        <v>125</v>
      </c>
      <c r="D123" s="27"/>
      <c r="E123" s="27" t="s">
        <v>33</v>
      </c>
      <c r="F123" s="27" t="s">
        <v>15</v>
      </c>
      <c r="G123" s="28" t="s">
        <v>254</v>
      </c>
      <c r="H123" s="29">
        <f t="shared" si="1"/>
        <v>2.916666666666673E-2</v>
      </c>
      <c r="I123" s="30">
        <v>0.49166666666666664</v>
      </c>
      <c r="J123" s="30">
        <v>0.52083333333333337</v>
      </c>
    </row>
    <row r="124" spans="1:10" ht="25.2" x14ac:dyDescent="0.2">
      <c r="A124" s="22">
        <v>46141</v>
      </c>
      <c r="B124" s="22" t="s">
        <v>19</v>
      </c>
      <c r="C124" s="27" t="s">
        <v>125</v>
      </c>
      <c r="D124" s="27"/>
      <c r="E124" s="27" t="s">
        <v>33</v>
      </c>
      <c r="F124" s="27" t="s">
        <v>15</v>
      </c>
      <c r="G124" s="28" t="s">
        <v>256</v>
      </c>
      <c r="H124" s="29">
        <f t="shared" si="1"/>
        <v>0.10416666666666663</v>
      </c>
      <c r="I124" s="30">
        <v>0.5625</v>
      </c>
      <c r="J124" s="30">
        <v>0.66666666666666663</v>
      </c>
    </row>
    <row r="125" spans="1:10" ht="37.799999999999997" x14ac:dyDescent="0.2">
      <c r="A125" s="22">
        <v>46141</v>
      </c>
      <c r="B125" s="22" t="s">
        <v>19</v>
      </c>
      <c r="C125" s="27" t="s">
        <v>125</v>
      </c>
      <c r="D125" s="27"/>
      <c r="E125" s="27" t="s">
        <v>62</v>
      </c>
      <c r="F125" s="27" t="s">
        <v>15</v>
      </c>
      <c r="G125" s="28" t="s">
        <v>257</v>
      </c>
      <c r="H125" s="29">
        <f t="shared" si="1"/>
        <v>4.5138888888888951E-2</v>
      </c>
      <c r="I125" s="30">
        <v>0.66666666666666663</v>
      </c>
      <c r="J125" s="30">
        <v>0.71180555555555558</v>
      </c>
    </row>
    <row r="126" spans="1:10" ht="25.2" x14ac:dyDescent="0.2">
      <c r="A126" s="22">
        <v>46142</v>
      </c>
      <c r="B126" s="22" t="s">
        <v>20</v>
      </c>
      <c r="C126" s="27" t="s">
        <v>125</v>
      </c>
      <c r="D126" s="27"/>
      <c r="E126" s="27" t="s">
        <v>62</v>
      </c>
      <c r="F126" s="27" t="s">
        <v>15</v>
      </c>
      <c r="G126" s="28" t="s">
        <v>221</v>
      </c>
      <c r="H126" s="29">
        <f t="shared" si="1"/>
        <v>1.4583333333333337E-2</v>
      </c>
      <c r="I126" s="30">
        <v>0.33333333333333331</v>
      </c>
      <c r="J126" s="30">
        <v>0.34791666666666665</v>
      </c>
    </row>
    <row r="127" spans="1:10" ht="25.2" x14ac:dyDescent="0.2">
      <c r="A127" s="22">
        <v>46142</v>
      </c>
      <c r="B127" s="22" t="s">
        <v>20</v>
      </c>
      <c r="C127" s="27" t="s">
        <v>125</v>
      </c>
      <c r="D127" s="27"/>
      <c r="E127" s="27" t="s">
        <v>33</v>
      </c>
      <c r="F127" s="27" t="s">
        <v>15</v>
      </c>
      <c r="G127" s="28" t="s">
        <v>256</v>
      </c>
      <c r="H127" s="29">
        <f t="shared" si="1"/>
        <v>6.8750000000000033E-2</v>
      </c>
      <c r="I127" s="30">
        <v>0.34791666666666665</v>
      </c>
      <c r="J127" s="30">
        <v>0.41666666666666669</v>
      </c>
    </row>
    <row r="128" spans="1:10" ht="37.799999999999997" x14ac:dyDescent="0.2">
      <c r="A128" s="22">
        <v>46142</v>
      </c>
      <c r="B128" s="22" t="s">
        <v>20</v>
      </c>
      <c r="C128" s="27" t="s">
        <v>125</v>
      </c>
      <c r="D128" s="27"/>
      <c r="E128" s="27" t="s">
        <v>62</v>
      </c>
      <c r="F128" s="27" t="s">
        <v>15</v>
      </c>
      <c r="G128" s="28" t="s">
        <v>258</v>
      </c>
      <c r="H128" s="29">
        <f t="shared" si="1"/>
        <v>4.2361111111111072E-2</v>
      </c>
      <c r="I128" s="30">
        <v>0.41666666666666669</v>
      </c>
      <c r="J128" s="30">
        <v>0.45902777777777776</v>
      </c>
    </row>
    <row r="129" spans="1:10" ht="25.2" x14ac:dyDescent="0.2">
      <c r="A129" s="22">
        <v>46142</v>
      </c>
      <c r="B129" s="22" t="s">
        <v>20</v>
      </c>
      <c r="C129" s="27" t="s">
        <v>125</v>
      </c>
      <c r="D129" s="27"/>
      <c r="E129" s="27" t="s">
        <v>33</v>
      </c>
      <c r="F129" s="27" t="s">
        <v>15</v>
      </c>
      <c r="G129" s="28" t="s">
        <v>256</v>
      </c>
      <c r="H129" s="29">
        <f t="shared" si="1"/>
        <v>6.1805555555555614E-2</v>
      </c>
      <c r="I129" s="30">
        <v>0.45902777777777776</v>
      </c>
      <c r="J129" s="30">
        <v>0.52083333333333337</v>
      </c>
    </row>
    <row r="130" spans="1:10" ht="25.2" x14ac:dyDescent="0.2">
      <c r="A130" s="22">
        <v>46142</v>
      </c>
      <c r="B130" s="22" t="s">
        <v>20</v>
      </c>
      <c r="C130" s="27" t="s">
        <v>125</v>
      </c>
      <c r="D130" s="27"/>
      <c r="E130" s="27" t="s">
        <v>33</v>
      </c>
      <c r="F130" s="27" t="s">
        <v>15</v>
      </c>
      <c r="G130" s="28" t="s">
        <v>259</v>
      </c>
      <c r="H130" s="29">
        <f t="shared" si="1"/>
        <v>4.166666666666663E-2</v>
      </c>
      <c r="I130" s="30">
        <v>0.5625</v>
      </c>
      <c r="J130" s="30">
        <v>0.60416666666666663</v>
      </c>
    </row>
    <row r="131" spans="1:10" ht="37.799999999999997" x14ac:dyDescent="0.2">
      <c r="A131" s="22">
        <v>46142</v>
      </c>
      <c r="B131" s="22" t="s">
        <v>20</v>
      </c>
      <c r="C131" s="27" t="s">
        <v>125</v>
      </c>
      <c r="D131" s="27"/>
      <c r="E131" s="27" t="s">
        <v>62</v>
      </c>
      <c r="F131" s="27" t="s">
        <v>15</v>
      </c>
      <c r="G131" s="28" t="s">
        <v>249</v>
      </c>
      <c r="H131" s="29">
        <f t="shared" si="1"/>
        <v>6.25E-2</v>
      </c>
      <c r="I131" s="30">
        <v>0.60416666666666663</v>
      </c>
      <c r="J131" s="30">
        <v>0.66666666666666663</v>
      </c>
    </row>
    <row r="132" spans="1:10" x14ac:dyDescent="0.2">
      <c r="A132" s="22">
        <v>46142</v>
      </c>
      <c r="B132" s="22" t="s">
        <v>20</v>
      </c>
      <c r="C132" s="27" t="s">
        <v>125</v>
      </c>
      <c r="D132" s="27"/>
      <c r="E132" s="27" t="s">
        <v>62</v>
      </c>
      <c r="F132" s="27" t="s">
        <v>15</v>
      </c>
      <c r="G132" s="28" t="s">
        <v>260</v>
      </c>
      <c r="H132" s="29">
        <f t="shared" si="1"/>
        <v>4.9305555555555602E-2</v>
      </c>
      <c r="I132" s="30">
        <v>0.66666666666666663</v>
      </c>
      <c r="J132" s="30">
        <v>0.71597222222222223</v>
      </c>
    </row>
    <row r="133" spans="1:10" ht="13.95" customHeight="1" thickBot="1" x14ac:dyDescent="0.25">
      <c r="A133" s="46"/>
      <c r="B133" s="46"/>
      <c r="G133" s="40"/>
      <c r="H133" s="64"/>
      <c r="I133" s="65"/>
      <c r="J133" s="65"/>
    </row>
    <row r="134" spans="1:10" ht="13.95" customHeight="1" x14ac:dyDescent="0.25">
      <c r="A134" s="4"/>
      <c r="B134" s="4"/>
      <c r="C134" s="5"/>
      <c r="D134" s="6"/>
      <c r="E134" s="7" t="s">
        <v>21</v>
      </c>
      <c r="F134" s="8">
        <v>152</v>
      </c>
      <c r="H134" s="40"/>
    </row>
    <row r="135" spans="1:10" ht="13.95" customHeight="1" thickBot="1" x14ac:dyDescent="0.3">
      <c r="A135" s="4"/>
      <c r="B135" s="4"/>
      <c r="C135" s="9"/>
      <c r="D135" s="2"/>
      <c r="E135" s="10" t="s">
        <v>22</v>
      </c>
      <c r="F135" s="11">
        <v>19</v>
      </c>
      <c r="H135" s="40"/>
    </row>
    <row r="136" spans="1:10" ht="13.95" customHeight="1" thickBot="1" x14ac:dyDescent="0.3">
      <c r="A136" s="125" t="s">
        <v>23</v>
      </c>
      <c r="B136" s="125"/>
      <c r="C136" s="125"/>
      <c r="D136" s="12"/>
      <c r="E136" s="2"/>
      <c r="F136" s="2"/>
      <c r="H136" s="40"/>
    </row>
    <row r="137" spans="1:10" ht="13.8" x14ac:dyDescent="0.25">
      <c r="A137" s="13"/>
      <c r="B137" s="13"/>
      <c r="C137" s="6"/>
      <c r="D137" s="6"/>
      <c r="E137" s="14" t="s">
        <v>24</v>
      </c>
      <c r="F137" s="15">
        <f>SUMIF(F9:F132,"Billable",H9:H132)</f>
        <v>0</v>
      </c>
      <c r="H137" s="38"/>
    </row>
    <row r="138" spans="1:10" ht="15" customHeight="1" thickBot="1" x14ac:dyDescent="0.3">
      <c r="A138" s="126" t="s">
        <v>25</v>
      </c>
      <c r="B138" s="126"/>
      <c r="C138" s="126"/>
      <c r="D138" s="16"/>
      <c r="E138" s="17" t="s">
        <v>26</v>
      </c>
      <c r="F138" s="18">
        <f>SUMIF(F9:F132,"Non-Billable",H9:H132)</f>
        <v>7.6631944444444482</v>
      </c>
      <c r="H138" s="40"/>
    </row>
    <row r="139" spans="1:10" ht="14.4" thickBot="1" x14ac:dyDescent="0.3">
      <c r="A139" s="2"/>
      <c r="B139" s="2"/>
      <c r="C139" s="2"/>
      <c r="D139" s="2"/>
      <c r="E139" s="19" t="s">
        <v>27</v>
      </c>
      <c r="F139" s="44">
        <f>F137+F138</f>
        <v>7.6631944444444482</v>
      </c>
      <c r="H139" s="40"/>
    </row>
    <row r="140" spans="1:10" ht="13.8" thickBot="1" x14ac:dyDescent="0.3">
      <c r="A140" s="2"/>
      <c r="B140" s="2"/>
      <c r="C140" s="2"/>
      <c r="D140" s="2"/>
      <c r="E140" s="2"/>
      <c r="F140" s="2"/>
      <c r="H140" s="40"/>
    </row>
    <row r="141" spans="1:10" ht="13.8" thickBot="1" x14ac:dyDescent="0.3">
      <c r="A141" s="2"/>
      <c r="B141" s="2"/>
      <c r="C141" s="2"/>
      <c r="D141" s="2"/>
      <c r="E141" s="20" t="s">
        <v>28</v>
      </c>
      <c r="F141" s="21"/>
      <c r="H141" s="40"/>
    </row>
    <row r="142" spans="1:10" ht="13.2" thickBot="1" x14ac:dyDescent="0.25">
      <c r="E142" s="39"/>
      <c r="H142" s="40"/>
    </row>
  </sheetData>
  <mergeCells count="2">
    <mergeCell ref="A136:C136"/>
    <mergeCell ref="A138:C138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42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34:E134 D136:E138 E141">
    <cfRule type="containsText" dxfId="86" priority="3" operator="containsText" text="Religious Leave">
      <formula>NOT(ISERROR(SEARCH("Religious Leave",D134)))</formula>
    </cfRule>
    <cfRule type="containsText" dxfId="85" priority="4" operator="containsText" text="Birthday Leave">
      <formula>NOT(ISERROR(SEARCH("Birthday Leave",D134)))</formula>
    </cfRule>
    <cfRule type="containsText" dxfId="84" priority="5" operator="containsText" text="Study Leave">
      <formula>NOT(ISERROR(SEARCH("Study Leave",D134)))</formula>
    </cfRule>
    <cfRule type="containsText" dxfId="83" priority="6" operator="containsText" text="Family Responsibility Leave">
      <formula>NOT(ISERROR(SEARCH("Family Responsibility Leave",D134)))</formula>
    </cfRule>
    <cfRule type="containsText" dxfId="82" priority="7" operator="containsText" text="Sick Leave">
      <formula>NOT(ISERROR(SEARCH("Sick Leave",D134)))</formula>
    </cfRule>
    <cfRule type="containsText" dxfId="81" priority="8" operator="containsText" text="Annual Leave">
      <formula>NOT(ISERROR(SEARCH("Annual Leave",D134)))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59 I9:J58 I60:J13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F9:F133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E9:E133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125</v>
      </c>
      <c r="D12" s="27" t="s">
        <v>106</v>
      </c>
      <c r="E12" s="27" t="s">
        <v>31</v>
      </c>
      <c r="F12" s="27" t="s">
        <v>13</v>
      </c>
      <c r="G12" s="28" t="s">
        <v>107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46148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46149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46150</v>
      </c>
      <c r="B16" s="22" t="s">
        <v>11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46154</v>
      </c>
      <c r="B20" s="22" t="s">
        <v>18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46155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46156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46157</v>
      </c>
      <c r="B23" s="22" t="s">
        <v>11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46158</v>
      </c>
      <c r="B24" s="31" t="s">
        <v>14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46159</v>
      </c>
      <c r="B25" s="31" t="s">
        <v>16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46160</v>
      </c>
      <c r="B26" s="22" t="s">
        <v>17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46161</v>
      </c>
      <c r="B27" s="22" t="s">
        <v>18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46162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46163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46164</v>
      </c>
      <c r="B30" s="22" t="s">
        <v>11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46165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46166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46167</v>
      </c>
      <c r="B33" s="22" t="s">
        <v>17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46168</v>
      </c>
      <c r="B34" s="22" t="s">
        <v>18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46169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46170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46171</v>
      </c>
      <c r="B37" s="22" t="s">
        <v>11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46172</v>
      </c>
      <c r="B38" s="31" t="s">
        <v>14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x14ac:dyDescent="0.25">
      <c r="A39" s="31">
        <v>46173</v>
      </c>
      <c r="B39" s="31" t="s">
        <v>16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5" t="s">
        <v>23</v>
      </c>
      <c r="B43" s="125"/>
      <c r="C43" s="125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6" t="s">
        <v>25</v>
      </c>
      <c r="B45" s="126"/>
      <c r="C45" s="126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5" t="s">
        <v>23</v>
      </c>
      <c r="B42" s="125"/>
      <c r="C42" s="125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6" t="s">
        <v>25</v>
      </c>
      <c r="B44" s="126"/>
      <c r="C44" s="126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5" t="s">
        <v>23</v>
      </c>
      <c r="B43" s="125"/>
      <c r="C43" s="125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6" t="s">
        <v>25</v>
      </c>
      <c r="B45" s="126"/>
      <c r="C45" s="126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5" t="s">
        <v>23</v>
      </c>
      <c r="B43" s="125"/>
      <c r="C43" s="125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6" t="s">
        <v>25</v>
      </c>
      <c r="B45" s="126"/>
      <c r="C45" s="126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5" t="s">
        <v>23</v>
      </c>
      <c r="B42" s="125"/>
      <c r="C42" s="125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6" t="s">
        <v>25</v>
      </c>
      <c r="B44" s="126"/>
      <c r="C44" s="126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5" t="s">
        <v>166</v>
      </c>
      <c r="B8" s="135"/>
      <c r="C8" s="135"/>
      <c r="D8" s="135"/>
      <c r="E8" s="135"/>
      <c r="F8" s="135"/>
    </row>
    <row r="9" spans="1:15" ht="13.5" customHeight="1" thickBot="1" x14ac:dyDescent="0.25">
      <c r="A9" s="82" t="s">
        <v>170</v>
      </c>
      <c r="B9" s="138" t="s">
        <v>167</v>
      </c>
      <c r="C9" s="139"/>
      <c r="D9" s="138" t="s">
        <v>94</v>
      </c>
      <c r="E9" s="139"/>
      <c r="F9" s="83" t="s">
        <v>95</v>
      </c>
    </row>
    <row r="10" spans="1:15" x14ac:dyDescent="0.2">
      <c r="A10" s="78">
        <v>46113</v>
      </c>
      <c r="B10" s="129" t="s">
        <v>168</v>
      </c>
      <c r="C10" s="129"/>
      <c r="D10" s="129" t="s">
        <v>123</v>
      </c>
      <c r="E10" s="129"/>
      <c r="F10" s="77">
        <v>200</v>
      </c>
      <c r="G10" s="136" t="s">
        <v>169</v>
      </c>
      <c r="H10" s="137"/>
      <c r="I10" s="137"/>
      <c r="J10" s="137"/>
      <c r="K10" s="137"/>
      <c r="L10" s="137"/>
      <c r="M10" s="137"/>
      <c r="N10" s="137"/>
      <c r="O10" s="137"/>
    </row>
    <row r="11" spans="1:15" x14ac:dyDescent="0.2">
      <c r="A11" s="78">
        <v>46113</v>
      </c>
      <c r="B11" s="127" t="s">
        <v>171</v>
      </c>
      <c r="C11" s="128"/>
      <c r="D11" s="129" t="s">
        <v>128</v>
      </c>
      <c r="E11" s="129"/>
      <c r="F11" s="77"/>
    </row>
    <row r="12" spans="1:15" x14ac:dyDescent="0.2">
      <c r="A12" s="78">
        <v>46113</v>
      </c>
      <c r="B12" s="127" t="s">
        <v>172</v>
      </c>
      <c r="C12" s="128"/>
      <c r="D12" s="129"/>
      <c r="E12" s="129"/>
      <c r="F12" s="77"/>
    </row>
    <row r="13" spans="1:15" x14ac:dyDescent="0.2">
      <c r="A13" s="78">
        <v>46113</v>
      </c>
      <c r="B13" s="127"/>
      <c r="C13" s="128"/>
      <c r="D13" s="129"/>
      <c r="E13" s="129"/>
      <c r="F13" s="77"/>
    </row>
    <row r="14" spans="1:15" x14ac:dyDescent="0.2">
      <c r="A14" s="78">
        <v>46113</v>
      </c>
      <c r="B14" s="127"/>
      <c r="C14" s="128"/>
      <c r="D14" s="129"/>
      <c r="E14" s="129"/>
      <c r="F14" s="77"/>
    </row>
    <row r="15" spans="1:15" x14ac:dyDescent="0.2">
      <c r="A15" s="78">
        <v>46113</v>
      </c>
      <c r="B15" s="133"/>
      <c r="C15" s="134"/>
      <c r="D15" s="129"/>
      <c r="E15" s="129"/>
      <c r="F15" s="77"/>
    </row>
    <row r="16" spans="1:15" ht="13.2" thickBot="1" x14ac:dyDescent="0.25">
      <c r="A16" s="78">
        <v>46113</v>
      </c>
      <c r="B16" s="127"/>
      <c r="C16" s="128"/>
      <c r="D16" s="129"/>
      <c r="E16" s="129"/>
      <c r="F16" s="77"/>
    </row>
    <row r="17" spans="1:6" ht="13.5" customHeight="1" thickBot="1" x14ac:dyDescent="0.25">
      <c r="A17" s="130" t="s">
        <v>96</v>
      </c>
      <c r="B17" s="131"/>
      <c r="C17" s="131"/>
      <c r="D17" s="131"/>
      <c r="E17" s="132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J36" sqref="J36"/>
    </sheetView>
  </sheetViews>
  <sheetFormatPr defaultColWidth="8.69921875" defaultRowHeight="12.6" x14ac:dyDescent="0.2"/>
  <cols>
    <col min="1" max="1" width="18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40"/>
      <c r="B4" s="140"/>
    </row>
    <row r="5" spans="1:6" x14ac:dyDescent="0.2">
      <c r="A5" s="37" t="s">
        <v>2</v>
      </c>
      <c r="B5" s="23" t="s">
        <v>207</v>
      </c>
    </row>
    <row r="6" spans="1:6" x14ac:dyDescent="0.2">
      <c r="A6" s="79" t="s">
        <v>174</v>
      </c>
      <c r="B6" s="123"/>
    </row>
    <row r="7" spans="1:6" x14ac:dyDescent="0.2">
      <c r="A7" s="95" t="s">
        <v>175</v>
      </c>
      <c r="B7" s="124"/>
    </row>
    <row r="8" spans="1:6" x14ac:dyDescent="0.2">
      <c r="A8" s="96"/>
      <c r="B8" s="85"/>
    </row>
    <row r="9" spans="1:6" ht="27.45" customHeight="1" x14ac:dyDescent="0.2">
      <c r="A9" s="153" t="s">
        <v>173</v>
      </c>
      <c r="B9" s="153"/>
      <c r="C9" s="153"/>
      <c r="D9" s="153"/>
      <c r="E9" s="153"/>
      <c r="F9" s="153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46161</v>
      </c>
      <c r="C11" s="117">
        <v>46162</v>
      </c>
      <c r="D11" s="87">
        <v>1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2" thickBot="1" x14ac:dyDescent="0.25">
      <c r="A15" s="144"/>
      <c r="B15" s="145"/>
      <c r="C15" s="145"/>
      <c r="D15" s="145"/>
      <c r="E15" s="145"/>
      <c r="F15" s="145"/>
    </row>
    <row r="16" spans="1:6" x14ac:dyDescent="0.2">
      <c r="A16" s="154" t="s">
        <v>103</v>
      </c>
      <c r="B16" s="155"/>
      <c r="C16" s="155"/>
      <c r="D16" s="155"/>
      <c r="E16" s="155"/>
      <c r="F16" s="156"/>
    </row>
    <row r="17" spans="1:6" x14ac:dyDescent="0.2">
      <c r="A17" s="141"/>
      <c r="B17" s="142"/>
      <c r="C17" s="142"/>
      <c r="D17" s="142"/>
      <c r="E17" s="142"/>
      <c r="F17" s="143"/>
    </row>
    <row r="18" spans="1:6" x14ac:dyDescent="0.2">
      <c r="A18" s="141"/>
      <c r="B18" s="142"/>
      <c r="C18" s="142"/>
      <c r="D18" s="142"/>
      <c r="E18" s="142"/>
      <c r="F18" s="143"/>
    </row>
    <row r="19" spans="1:6" ht="13.2" thickBot="1" x14ac:dyDescent="0.25">
      <c r="A19" s="144"/>
      <c r="B19" s="145"/>
      <c r="C19" s="145"/>
      <c r="D19" s="145"/>
      <c r="E19" s="145"/>
      <c r="F19" s="146"/>
    </row>
    <row r="20" spans="1:6" ht="13.2" thickBot="1" x14ac:dyDescent="0.25"/>
    <row r="21" spans="1:6" x14ac:dyDescent="0.2">
      <c r="A21" s="92" t="s">
        <v>0</v>
      </c>
      <c r="B21" s="147"/>
      <c r="C21" s="147"/>
      <c r="D21" s="147"/>
      <c r="E21" s="147"/>
      <c r="F21" s="148"/>
    </row>
    <row r="22" spans="1:6" x14ac:dyDescent="0.2">
      <c r="A22" s="93" t="s">
        <v>104</v>
      </c>
      <c r="B22" s="149"/>
      <c r="C22" s="149"/>
      <c r="D22" s="149"/>
      <c r="E22" s="149"/>
      <c r="F22" s="150"/>
    </row>
    <row r="23" spans="1:6" ht="13.2" thickBot="1" x14ac:dyDescent="0.25">
      <c r="A23" s="94" t="s">
        <v>105</v>
      </c>
      <c r="B23" s="151"/>
      <c r="C23" s="151"/>
      <c r="D23" s="151"/>
      <c r="E23" s="151"/>
      <c r="F23" s="152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37CEB-E5D3-4F40-B93D-B68754BA7EB6}"/>
</file>

<file path=customXml/itemProps2.xml><?xml version="1.0" encoding="utf-8"?>
<ds:datastoreItem xmlns:ds="http://schemas.openxmlformats.org/officeDocument/2006/customXml" ds:itemID="{BBA7CA51-3876-42E5-9D60-4320955E597F}"/>
</file>

<file path=customXml/itemProps3.xml><?xml version="1.0" encoding="utf-8"?>
<ds:datastoreItem xmlns:ds="http://schemas.openxmlformats.org/officeDocument/2006/customXml" ds:itemID="{9D445429-43EF-4578-A593-6E166DDD94D2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Jabulane Poulo</cp:lastModifiedBy>
  <dcterms:created xsi:type="dcterms:W3CDTF">2020-04-02T09:04:10Z</dcterms:created>
  <dcterms:modified xsi:type="dcterms:W3CDTF">2026-04-30T15:31:02Z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