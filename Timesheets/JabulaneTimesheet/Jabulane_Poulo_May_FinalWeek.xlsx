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Timesheet\"/>
    </mc:Choice>
  </mc:AlternateContent>
  <xr:revisionPtr revIDLastSave="0" documentId="13_ncr:1_{7F4CB38C-FE06-4F60-B069-E78403377FF0}" xr6:coauthVersionLast="47" xr6:coauthVersionMax="47" xr10:uidLastSave="{00000000-0000-0000-0000-000000000000}"/>
  <bookViews>
    <workbookView xWindow="-108" yWindow="-108" windowWidth="23256" windowHeight="12456" activeTab="2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1" i="3" l="1"/>
  <c r="H40" i="3"/>
  <c r="H39" i="3"/>
  <c r="H38" i="3"/>
  <c r="H37" i="3"/>
  <c r="H35" i="3"/>
  <c r="H34" i="3"/>
  <c r="H33" i="3"/>
  <c r="H32" i="3"/>
  <c r="H31" i="3"/>
  <c r="H30" i="3"/>
  <c r="H29" i="3"/>
  <c r="H28" i="3"/>
  <c r="H27" i="3"/>
  <c r="H26" i="3"/>
  <c r="H25" i="3"/>
  <c r="H24" i="3"/>
  <c r="H22" i="3"/>
  <c r="H21" i="3"/>
  <c r="H20" i="3"/>
  <c r="H19" i="3"/>
  <c r="H18" i="3"/>
  <c r="H17" i="3"/>
  <c r="H15" i="3"/>
  <c r="H10" i="3"/>
  <c r="H11" i="3"/>
  <c r="H12" i="3"/>
  <c r="H13" i="3"/>
  <c r="H14" i="3"/>
  <c r="H117" i="1"/>
  <c r="H116" i="1"/>
  <c r="H115" i="1"/>
  <c r="H114" i="1"/>
  <c r="H113" i="1"/>
  <c r="H111" i="1"/>
  <c r="H110" i="1"/>
  <c r="H109" i="1"/>
  <c r="H108" i="1"/>
  <c r="H107" i="1"/>
  <c r="H106" i="1"/>
  <c r="H105" i="1"/>
  <c r="H104" i="1"/>
  <c r="H103" i="1"/>
  <c r="H101" i="1"/>
  <c r="H100" i="1"/>
  <c r="H99" i="1"/>
  <c r="H98" i="1"/>
  <c r="H97" i="1"/>
  <c r="H96" i="1"/>
  <c r="H95" i="1"/>
  <c r="H93" i="1"/>
  <c r="H92" i="1"/>
  <c r="H91" i="1"/>
  <c r="H90" i="1"/>
  <c r="H89" i="1"/>
  <c r="H86" i="1"/>
  <c r="H87" i="1"/>
  <c r="H85" i="1"/>
  <c r="H84" i="1"/>
  <c r="H83" i="1"/>
  <c r="H79" i="1"/>
  <c r="H78" i="1"/>
  <c r="H77" i="1"/>
  <c r="H76" i="1"/>
  <c r="H75" i="1"/>
  <c r="H73" i="1"/>
  <c r="H72" i="1"/>
  <c r="H71" i="1"/>
  <c r="H70" i="1"/>
  <c r="H69" i="1"/>
  <c r="H67" i="1"/>
  <c r="H66" i="1"/>
  <c r="H65" i="1"/>
  <c r="H64" i="1"/>
  <c r="H63" i="1"/>
  <c r="H62" i="1"/>
  <c r="H61" i="1"/>
  <c r="H58" i="1"/>
  <c r="H57" i="1"/>
  <c r="H56" i="1"/>
  <c r="H55" i="1"/>
  <c r="H54" i="1"/>
  <c r="H50" i="1"/>
  <c r="H49" i="1"/>
  <c r="H47" i="1"/>
  <c r="H46" i="1"/>
  <c r="H45" i="1"/>
  <c r="H44" i="1"/>
  <c r="H43" i="1"/>
  <c r="H42" i="1"/>
  <c r="H41" i="1"/>
  <c r="H40" i="1"/>
  <c r="H38" i="1"/>
  <c r="H37" i="1"/>
  <c r="H36" i="1"/>
  <c r="H35" i="1"/>
  <c r="H34" i="1"/>
  <c r="H33" i="1"/>
  <c r="H31" i="1"/>
  <c r="H30" i="1"/>
  <c r="H29" i="1"/>
  <c r="H28" i="1"/>
  <c r="H27" i="1"/>
  <c r="H25" i="1"/>
  <c r="H24" i="1"/>
  <c r="H23" i="1"/>
  <c r="H22" i="1"/>
  <c r="H21" i="1"/>
  <c r="H17" i="1"/>
  <c r="H131" i="10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71" i="3"/>
  <c r="F43" i="6"/>
  <c r="H32" i="6"/>
  <c r="F45" i="5"/>
  <c r="F44" i="5"/>
  <c r="H9" i="5"/>
  <c r="H37" i="5"/>
  <c r="H38" i="5"/>
  <c r="H39" i="5"/>
  <c r="H9" i="4"/>
  <c r="H10" i="1"/>
  <c r="H11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59" i="3"/>
  <c r="F138" i="10" l="1"/>
  <c r="F139" i="10" s="1"/>
  <c r="B6" i="10"/>
  <c r="H12" i="4"/>
  <c r="H10" i="4"/>
  <c r="H11" i="4"/>
  <c r="H60" i="3"/>
  <c r="H11" i="1"/>
  <c r="H10" i="5"/>
  <c r="H9" i="1" l="1"/>
  <c r="H17" i="4"/>
  <c r="H18" i="4"/>
  <c r="H16" i="4"/>
  <c r="H15" i="4"/>
  <c r="H14" i="4"/>
  <c r="H13" i="4"/>
  <c r="H66" i="3"/>
  <c r="H65" i="3"/>
  <c r="H64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61" i="3"/>
  <c r="H62" i="3"/>
  <c r="H63" i="3"/>
  <c r="H12" i="1"/>
  <c r="H13" i="1"/>
  <c r="H14" i="1"/>
  <c r="H16" i="1"/>
  <c r="H18" i="1"/>
  <c r="H19" i="1"/>
  <c r="H20" i="1"/>
  <c r="H26" i="1"/>
  <c r="H32" i="1"/>
  <c r="H39" i="1"/>
  <c r="H48" i="1"/>
  <c r="H51" i="1"/>
  <c r="H52" i="1"/>
  <c r="H53" i="1"/>
  <c r="H59" i="1"/>
  <c r="H60" i="1"/>
  <c r="H68" i="1"/>
  <c r="H74" i="1"/>
  <c r="H80" i="1"/>
  <c r="H81" i="1"/>
  <c r="H82" i="1"/>
  <c r="H88" i="1"/>
  <c r="H94" i="1"/>
  <c r="H102" i="1"/>
  <c r="H112" i="1"/>
  <c r="H118" i="1"/>
  <c r="F124" i="1" l="1"/>
  <c r="F125" i="1"/>
  <c r="H10" i="6"/>
  <c r="H11" i="6"/>
  <c r="H12" i="6"/>
  <c r="H16" i="3"/>
  <c r="F72" i="3" s="1"/>
  <c r="H23" i="3"/>
  <c r="H36" i="3"/>
  <c r="F46" i="4" l="1"/>
  <c r="F46" i="5"/>
  <c r="F45" i="6"/>
  <c r="B6" i="6"/>
  <c r="B6" i="5"/>
  <c r="B6" i="4"/>
  <c r="F73" i="3"/>
  <c r="B6" i="3"/>
  <c r="F126" i="1"/>
  <c r="B6" i="1"/>
</calcChain>
</file>

<file path=xl/sharedStrings.xml><?xml version="1.0" encoding="utf-8"?>
<sst xmlns="http://schemas.openxmlformats.org/spreadsheetml/2006/main" count="1730" uniqueCount="297">
  <si>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</si>
  <si>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</si>
  <si>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</si>
  <si>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</si>
  <si>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</si>
  <si>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</si>
  <si>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</si>
  <si>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</si>
  <si>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</si>
  <si>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</si>
  <si>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</si>
  <si>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</si>
  <si>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</si>
  <si>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</si>
  <si>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</si>
  <si>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</si>
  <si>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</si>
  <si>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</si>
  <si>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</si>
  <si>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</si>
  <si>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</si>
  <si>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</si>
  <si>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</si>
  <si>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</si>
  <si>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</si>
  <si>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</si>
  <si>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</si>
  <si>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</si>
  <si>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</si>
  <si>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</si>
  <si>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</si>
  <si>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</si>
  <si>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</si>
  <si>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</si>
  <si>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</si>
  <si>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</si>
  <si>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</si>
  <si>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</si>
  <si>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</si>
  <si>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</si>
  <si>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</si>
  <si>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</si>
  <si>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</si>
  <si>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</si>
  <si>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</si>
  <si>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</si>
  <si>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</si>
  <si>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</si>
  <si>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</si>
  <si>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</si>
  <si>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</si>
  <si>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</si>
  <si>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</si>
  <si>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</si>
  <si>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</si>
  <si>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</si>
  <si>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</si>
  <si>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</si>
  <si>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</si>
  <si>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</si>
  <si>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</si>
  <si>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</si>
  <si>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</si>
  <si>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</si>
  <si>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</si>
  <si>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</si>
  <si>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</si>
  <si>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</si>
  <si>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</si>
  <si>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</si>
  <si>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</si>
  <si>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</si>
  <si>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</si>
  <si>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</si>
  <si>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</si>
  <si>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</si>
  <si>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</si>
  <si>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</si>
  <si>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</si>
  <si>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</si>
  <si>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</si>
  <si>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</si>
  <si>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</si>
  <si>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</si>
  <si>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</si>
  <si>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</si>
  <si>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</si>
  <si>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</si>
  <si>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</si>
  <si>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</si>
  <si>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</si>
  <si>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</si>
  <si>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</si>
  <si>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</si>
  <si>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</si>
  <si>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</si>
  <si>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</si>
  <si>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</si>
  <si>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</si>
  <si>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</si>
  <si>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</si>
  <si>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</si>
  <si>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</si>
  <si>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</si>
  <si>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</si>
  <si>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</si>
  <si>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</si>
  <si>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</si>
  <si>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</si>
  <si>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</si>
  <si>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</si>
  <si>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</si>
  <si>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</si>
  <si>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</si>
  <si>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</si>
  <si>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</si>
  <si>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</si>
  <si>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</si>
  <si>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</si>
  <si>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</si>
  <si>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</si>
  <si>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</si>
  <si>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</si>
  <si>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</si>
  <si>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</si>
  <si>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</si>
  <si>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</si>
  <si>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</si>
  <si>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</si>
  <si>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</si>
  <si>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</si>
  <si>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</si>
  <si>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</si>
  <si>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</si>
  <si>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</si>
  <si>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</si>
  <si>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</si>
  <si>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</si>
  <si>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</si>
  <si>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</si>
  <si>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</si>
  <si>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</si>
  <si>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</si>
  <si>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</si>
  <si>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</si>
  <si>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</si>
  <si>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</si>
  <si>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</si>
  <si>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</si>
  <si>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</si>
  <si>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</si>
  <si>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</si>
  <si>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</si>
  <si>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</si>
  <si>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</si>
  <si>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</si>
  <si>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</si>
  <si>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</si>
  <si>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</si>
  <si>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</si>
  <si>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</si>
  <si>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</si>
  <si>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</si>
  <si>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</si>
  <si>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</si>
  <si>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</si>
  <si>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</si>
  <si>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</si>
  <si>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</si>
  <si>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</si>
  <si>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</si>
  <si>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</si>
  <si>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</si>
  <si>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</si>
  <si>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</si>
  <si>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</si>
  <si>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</si>
  <si>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</si>
  <si>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</si>
  <si>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</si>
  <si>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</si>
  <si>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</si>
  <si>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</si>
  <si>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</si>
  <si>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</si>
  <si>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</si>
  <si>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</si>
  <si>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</si>
  <si>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</si>
  <si>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</si>
  <si>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</si>
  <si>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</si>
  <si>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</si>
  <si>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</si>
  <si>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</si>
  <si>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</si>
  <si>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</si>
  <si>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</si>
  <si>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</si>
  <si>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</si>
  <si>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</si>
  <si>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</si>
  <si>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</si>
  <si>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</si>
  <si>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</si>
  <si>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</si>
  <si>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</si>
  <si>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</si>
  <si>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</si>
  <si>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</si>
  <si>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</si>
  <si>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</si>
  <si>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</si>
  <si>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</si>
  <si>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</si>
  <si>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</si>
  <si>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</si>
  <si>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</si>
  <si>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</si>
  <si>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</si>
  <si>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</si>
  <si>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Meeting with Clement Tshivhase and the team</t>
  </si>
  <si>
    <t>Continued with the Udemy Pytthon for beginners</t>
  </si>
  <si>
    <t xml:space="preserve">Meeting with Clement Tshivhase and the team discussed the Udemy Python course </t>
  </si>
  <si>
    <t>Meeting with Clement Tshivhase and the team discussed the Udemy Python course</t>
  </si>
  <si>
    <t xml:space="preserve"> Meeting with Clement Tshivhase, Bongani Mondlane and the team</t>
  </si>
  <si>
    <t>Meeting with Bongani Mondlane and the team to discussed the Udemy Python course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</si>
  <si>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</si>
  <si>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</si>
  <si>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</si>
  <si>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</si>
  <si>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</si>
  <si>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</si>
  <si>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</si>
  <si>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</si>
  <si>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</si>
  <si>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</si>
  <si>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</si>
  <si>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</si>
  <si>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</si>
  <si>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</si>
  <si>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</si>
  <si>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</si>
  <si>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>Meeting with Clement Tshivhase and the team discuessed the Udemy  GitHub  Actions course</t>
  </si>
  <si>
    <t xml:space="preserve">Meeting with Clement Tshivhase and the team 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</si>
  <si>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</si>
  <si>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</si>
  <si>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</si>
  <si>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</si>
  <si>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</si>
  <si>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</si>
  <si>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</si>
  <si>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>Revision on the Udemy GitHub Action course and continued with the side project</t>
  </si>
  <si>
    <t>Revision on the Udemy GitHub Action course and start a simple side project</t>
  </si>
  <si>
    <t>Started the Udemy  Database Admin course</t>
  </si>
  <si>
    <t>Did a few edits on my dashboard and reports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</si>
  <si>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</si>
  <si>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</si>
  <si>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</si>
  <si>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</si>
  <si>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</si>
  <si>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 xml:space="preserve">Discovery Induction Programme </t>
  </si>
  <si>
    <t>Sambe interns check-in with  Lwazze Mazibuko and the team</t>
  </si>
  <si>
    <t>Meeting with Clement Tshivhase and the team discuessed the Udemy  Database Admin course</t>
  </si>
  <si>
    <t>Meeting with Bongani Mondlane and the team to discussed the Udemy  Database Admin course</t>
  </si>
  <si>
    <t>Meeting with Bongani Mondlane and the team</t>
  </si>
  <si>
    <t>Internal training  | AI  tips, tricks and dead giveaways by Shaila</t>
  </si>
  <si>
    <t xml:space="preserve">Meeting  with the team  for the Sales  Analysis Project Presentation  preperations </t>
  </si>
  <si>
    <t>Meeting with Bongani Mondlane and the team to get feedback and edit our Sales Analysis Dashboard</t>
  </si>
  <si>
    <t>Started the Udemy Course | SQL Server Integration Services (SSIS)</t>
  </si>
  <si>
    <t>Meeting with Clement Tshivhase and the team discuessed the Udemy Course | SQL Server Integration Services (SSIS)</t>
  </si>
  <si>
    <t>Continued with the Udemy Course | SQL Server Integration Services (SSIS)</t>
  </si>
  <si>
    <t>Finished with the Udemy Course | SQL Server Integration Services (SSIS)</t>
  </si>
  <si>
    <t>Revision on the Udemy Course | SQL Server Integration Services (SSIS)</t>
  </si>
  <si>
    <t xml:space="preserve">Meeting with Bongani Mondlane and the team </t>
  </si>
  <si>
    <t xml:space="preserve">Finished with the Udemy Database Admin course </t>
  </si>
  <si>
    <t>Started the Udemy Course | Querying Microsoft SQL Server with Transact-SQL</t>
  </si>
  <si>
    <t>Meeting with Clement Tshivhase and the team discuessed the Udemy Course | Querying Microsoft SQL Server with Transact-SQL</t>
  </si>
  <si>
    <t>Continued with the Udemy Course | Querying Microsoft SQL Server with Transact-SQL</t>
  </si>
  <si>
    <t>Meeting with the team to prepare for the Unified dashboard presentation</t>
  </si>
  <si>
    <t>Meeting with Bongani Mondlane and the team to discussed Client Communication</t>
  </si>
  <si>
    <t xml:space="preserve">Unified dashboard presentation </t>
  </si>
  <si>
    <t>Meeting with the team to prepare for the updated Unified dashboard presentation</t>
  </si>
  <si>
    <t>Updated  Dashboard  presentation</t>
  </si>
  <si>
    <t>Meeting with Bongani Mondlane and the team  and discussed the Udemy Course | Querying Microsoft SQL Server with Transact-SQL</t>
  </si>
  <si>
    <t>Meeting with Bongani Mondlane and the team and talked about the Udemy Course | Querying Microsoft SQL Server with Transact-SQL</t>
  </si>
  <si>
    <t>Meeting with Bongani Mondlane and the team and was given a new Udemy course</t>
  </si>
  <si>
    <t>Completed Udemy Course | Querying Microsoft SQL Server with Transact-SQL</t>
  </si>
  <si>
    <t>Meeting  with the team discuessed the Udemy Course | Querying Microsoft SQL Server with Transact-SQL</t>
  </si>
  <si>
    <t>Started with the Udemy Course | Effective Communication in the Workplace</t>
  </si>
  <si>
    <t>Continued with the Udemy Course | Effective Communication in the Workplace</t>
  </si>
  <si>
    <t>Completed  the Udemy Course | Effective Communication in the Workplace</t>
  </si>
  <si>
    <t>Meeting with Clement Tshivhase and the team and was given a Project</t>
  </si>
  <si>
    <t>Started  the  Project | GitHub Pull Request Notification Integration with Microsoft Teams with Kayden</t>
  </si>
  <si>
    <t>Meeting with Clement Tshivhase and the team discuessed Project | GitHub Pull Request Notification Integration with Microsoft Teams</t>
  </si>
  <si>
    <t>Continued  the  Project | GitHub Pull Request Notification Integration with Microsoft Teams with Kayden</t>
  </si>
  <si>
    <t>Finished  the  Project | GitHub Pull Request Notification Integration with Microsoft Teams with Kayden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</si>
</sst>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0" fontId="21" fillId="0" borderId="6" xfId="0" applyFont="1" applyBorder="1" applyAlignment="1">
      <alignment wrapText="1"/>
    </xf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view="pageBreakPreview" topLeftCell="A118" zoomScale="60" zoomScaleNormal="75" workbookViewId="0">
      <selection activeCell="G100" sqref="G10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3" spans="1:10" x14ac:dyDescent="0.2">
      <c r="F3" s="64"/>
      <c r="G3" s="64"/>
    </row>
    <row r="4" spans="1:10" x14ac:dyDescent="0.2">
      <c r="H4" s="64"/>
    </row>
    <row r="5" spans="1:10" x14ac:dyDescent="0.2">
      <c r="A5" s="37" t="s">
        <v>2</v>
      </c>
      <c r="B5" s="23" t="s">
        <v>207</v>
      </c>
      <c r="H5" s="65"/>
    </row>
    <row r="6" spans="1:10" x14ac:dyDescent="0.2">
      <c r="A6" s="37" t="s">
        <v>93</v>
      </c>
      <c r="B6" s="72">
        <f>F137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2" x14ac:dyDescent="0.2">
      <c r="A10" s="22">
        <v>46113</v>
      </c>
      <c r="B10" s="22" t="s">
        <v>19</v>
      </c>
      <c r="C10" s="27" t="s">
        <v>125</v>
      </c>
      <c r="D10" s="27"/>
      <c r="E10" s="27" t="s">
        <v>33</v>
      </c>
      <c r="F10" s="27" t="s">
        <v>15</v>
      </c>
      <c r="G10" s="28" t="s">
        <v>222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799999999999997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2" x14ac:dyDescent="0.2">
      <c r="A12" s="22">
        <v>46113</v>
      </c>
      <c r="B12" s="22" t="s">
        <v>19</v>
      </c>
      <c r="C12" s="27" t="s">
        <v>125</v>
      </c>
      <c r="D12" s="27"/>
      <c r="E12" s="27" t="s">
        <v>33</v>
      </c>
      <c r="F12" s="27" t="s">
        <v>15</v>
      </c>
      <c r="G12" s="28" t="s">
        <v>222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2" x14ac:dyDescent="0.2">
      <c r="A13" s="22">
        <v>46113</v>
      </c>
      <c r="B13" s="22" t="s">
        <v>19</v>
      </c>
      <c r="C13" s="27" t="s">
        <v>125</v>
      </c>
      <c r="D13" s="27"/>
      <c r="E13" s="27" t="s">
        <v>33</v>
      </c>
      <c r="F13" s="27" t="s">
        <v>15</v>
      </c>
      <c r="G13" s="28" t="s">
        <v>222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799999999999997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226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2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221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2" x14ac:dyDescent="0.2">
      <c r="A16" s="22">
        <v>46114</v>
      </c>
      <c r="B16" s="22" t="s">
        <v>20</v>
      </c>
      <c r="C16" s="27" t="s">
        <v>125</v>
      </c>
      <c r="D16" s="27"/>
      <c r="E16" s="27" t="s">
        <v>33</v>
      </c>
      <c r="F16" s="27" t="s">
        <v>15</v>
      </c>
      <c r="G16" s="28" t="s">
        <v>222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799999999999997" x14ac:dyDescent="0.2">
      <c r="A17" s="22">
        <v>46114</v>
      </c>
      <c r="B17" s="22" t="s">
        <v>20</v>
      </c>
      <c r="C17" s="27" t="s">
        <v>125</v>
      </c>
      <c r="D17" s="27"/>
      <c r="E17" s="27" t="s">
        <v>62</v>
      </c>
      <c r="F17" s="27" t="s">
        <v>15</v>
      </c>
      <c r="G17" s="28" t="s">
        <v>224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2" x14ac:dyDescent="0.2">
      <c r="A18" s="22">
        <v>46114</v>
      </c>
      <c r="B18" s="22" t="s">
        <v>20</v>
      </c>
      <c r="C18" s="27" t="s">
        <v>125</v>
      </c>
      <c r="D18" s="27"/>
      <c r="E18" s="27" t="s">
        <v>33</v>
      </c>
      <c r="F18" s="27" t="s">
        <v>15</v>
      </c>
      <c r="G18" s="28" t="s">
        <v>222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2" x14ac:dyDescent="0.2">
      <c r="A19" s="22">
        <v>46114</v>
      </c>
      <c r="B19" s="22" t="s">
        <v>20</v>
      </c>
      <c r="C19" s="27" t="s">
        <v>125</v>
      </c>
      <c r="D19" s="27"/>
      <c r="E19" s="27" t="s">
        <v>33</v>
      </c>
      <c r="F19" s="27" t="s">
        <v>15</v>
      </c>
      <c r="G19" s="28" t="s">
        <v>222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2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225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2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221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2" x14ac:dyDescent="0.2">
      <c r="A26" s="22">
        <v>46119</v>
      </c>
      <c r="B26" s="22" t="s">
        <v>18</v>
      </c>
      <c r="C26" s="27" t="s">
        <v>125</v>
      </c>
      <c r="D26" s="27"/>
      <c r="E26" s="27" t="s">
        <v>33</v>
      </c>
      <c r="F26" s="27" t="s">
        <v>15</v>
      </c>
      <c r="G26" s="28" t="s">
        <v>222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799999999999997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224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2" x14ac:dyDescent="0.2">
      <c r="A28" s="22">
        <v>46119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222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2" x14ac:dyDescent="0.2">
      <c r="A29" s="22">
        <v>46119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227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799999999999997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226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2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221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2" x14ac:dyDescent="0.2">
      <c r="A32" s="22">
        <v>46120</v>
      </c>
      <c r="B32" s="22" t="s">
        <v>19</v>
      </c>
      <c r="C32" s="27" t="s">
        <v>125</v>
      </c>
      <c r="D32" s="27"/>
      <c r="E32" s="27" t="s">
        <v>33</v>
      </c>
      <c r="F32" s="27" t="s">
        <v>15</v>
      </c>
      <c r="G32" s="28" t="s">
        <v>222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799999999999997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2" x14ac:dyDescent="0.2">
      <c r="A34" s="22">
        <v>46120</v>
      </c>
      <c r="B34" s="22" t="s">
        <v>19</v>
      </c>
      <c r="C34" s="27" t="s">
        <v>125</v>
      </c>
      <c r="D34" s="27"/>
      <c r="E34" s="27" t="s">
        <v>33</v>
      </c>
      <c r="F34" s="27" t="s">
        <v>15</v>
      </c>
      <c r="G34" s="28" t="s">
        <v>228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2" x14ac:dyDescent="0.2">
      <c r="A35" s="22">
        <v>46120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222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799999999999997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226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2" x14ac:dyDescent="0.2">
      <c r="A37" s="22">
        <v>46120</v>
      </c>
      <c r="B37" s="22" t="s">
        <v>19</v>
      </c>
      <c r="C37" s="27" t="s">
        <v>125</v>
      </c>
      <c r="D37" s="27"/>
      <c r="E37" s="27" t="s">
        <v>33</v>
      </c>
      <c r="F37" s="27" t="s">
        <v>15</v>
      </c>
      <c r="G37" s="28" t="s">
        <v>222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2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221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2" x14ac:dyDescent="0.2">
      <c r="A39" s="22">
        <v>46121</v>
      </c>
      <c r="B39" s="22" t="s">
        <v>20</v>
      </c>
      <c r="C39" s="27" t="s">
        <v>125</v>
      </c>
      <c r="D39" s="27"/>
      <c r="E39" s="27" t="s">
        <v>33</v>
      </c>
      <c r="F39" s="27" t="s">
        <v>15</v>
      </c>
      <c r="G39" s="28" t="s">
        <v>229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799999999999997" x14ac:dyDescent="0.2">
      <c r="A40" s="22">
        <v>46121</v>
      </c>
      <c r="B40" s="22" t="s">
        <v>20</v>
      </c>
      <c r="C40" s="27" t="s">
        <v>125</v>
      </c>
      <c r="D40" s="27"/>
      <c r="E40" s="27" t="s">
        <v>62</v>
      </c>
      <c r="F40" s="27" t="s">
        <v>15</v>
      </c>
      <c r="G40" s="28" t="s">
        <v>226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2" x14ac:dyDescent="0.2">
      <c r="A41" s="22">
        <v>46121</v>
      </c>
      <c r="B41" s="22" t="s">
        <v>20</v>
      </c>
      <c r="C41" s="27" t="s">
        <v>125</v>
      </c>
      <c r="D41" s="27"/>
      <c r="E41" s="27" t="s">
        <v>33</v>
      </c>
      <c r="F41" s="27" t="s">
        <v>15</v>
      </c>
      <c r="G41" s="28" t="s">
        <v>230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799999999999997" x14ac:dyDescent="0.2">
      <c r="A42" s="22">
        <v>46121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226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2" x14ac:dyDescent="0.2">
      <c r="A43" s="22">
        <v>46122</v>
      </c>
      <c r="B43" s="22" t="s">
        <v>11</v>
      </c>
      <c r="C43" s="27" t="s">
        <v>125</v>
      </c>
      <c r="D43" s="27"/>
      <c r="E43" s="27" t="s">
        <v>62</v>
      </c>
      <c r="F43" s="27" t="s">
        <v>15</v>
      </c>
      <c r="G43" s="28" t="s">
        <v>221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2" x14ac:dyDescent="0.2">
      <c r="A44" s="22">
        <v>46122</v>
      </c>
      <c r="B44" s="22" t="s">
        <v>11</v>
      </c>
      <c r="C44" s="27" t="s">
        <v>125</v>
      </c>
      <c r="D44" s="27"/>
      <c r="E44" s="27" t="s">
        <v>33</v>
      </c>
      <c r="F44" s="27" t="s">
        <v>15</v>
      </c>
      <c r="G44" s="28" t="s">
        <v>230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2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231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2" x14ac:dyDescent="0.2">
      <c r="A46" s="22">
        <v>46122</v>
      </c>
      <c r="B46" s="22" t="s">
        <v>11</v>
      </c>
      <c r="C46" s="27" t="s">
        <v>125</v>
      </c>
      <c r="D46" s="27"/>
      <c r="E46" s="27" t="s">
        <v>56</v>
      </c>
      <c r="F46" s="27" t="s">
        <v>15</v>
      </c>
      <c r="G46" s="28" t="s">
        <v>232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 x14ac:dyDescent="0.2">
      <c r="A47" s="31">
        <v>46123</v>
      </c>
      <c r="B47" s="31" t="s">
        <v>14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 x14ac:dyDescent="0.2">
      <c r="A48" s="31">
        <v>46124</v>
      </c>
      <c r="B48" s="31" t="s">
        <v>16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2" x14ac:dyDescent="0.2">
      <c r="A49" s="22">
        <v>46125</v>
      </c>
      <c r="B49" s="22" t="s">
        <v>17</v>
      </c>
      <c r="C49" s="27" t="s">
        <v>125</v>
      </c>
      <c r="E49" s="27" t="s">
        <v>62</v>
      </c>
      <c r="F49" s="27" t="s">
        <v>15</v>
      </c>
      <c r="G49" s="28" t="s">
        <v>221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2" x14ac:dyDescent="0.2">
      <c r="A50" s="22">
        <v>46125</v>
      </c>
      <c r="B50" s="22" t="s">
        <v>17</v>
      </c>
      <c r="C50" s="27" t="s">
        <v>125</v>
      </c>
      <c r="D50" s="27"/>
      <c r="E50" s="27" t="s">
        <v>33</v>
      </c>
      <c r="F50" s="27" t="s">
        <v>15</v>
      </c>
      <c r="G50" s="28" t="s">
        <v>233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2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221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2" x14ac:dyDescent="0.2">
      <c r="A52" s="22">
        <v>46125</v>
      </c>
      <c r="B52" s="22" t="s">
        <v>17</v>
      </c>
      <c r="C52" s="27" t="s">
        <v>125</v>
      </c>
      <c r="D52" s="27"/>
      <c r="E52" s="27" t="s">
        <v>33</v>
      </c>
      <c r="F52" s="27" t="s">
        <v>15</v>
      </c>
      <c r="G52" s="28" t="s">
        <v>234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2" x14ac:dyDescent="0.2">
      <c r="A53" s="22">
        <v>46125</v>
      </c>
      <c r="B53" s="22" t="s">
        <v>17</v>
      </c>
      <c r="C53" s="27" t="s">
        <v>125</v>
      </c>
      <c r="D53" s="27"/>
      <c r="E53" s="27" t="s">
        <v>33</v>
      </c>
      <c r="F53" s="27" t="s">
        <v>15</v>
      </c>
      <c r="G53" s="28" t="s">
        <v>235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799999999999997" x14ac:dyDescent="0.2">
      <c r="A54" s="22">
        <v>46125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236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2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221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2" x14ac:dyDescent="0.2">
      <c r="A56" s="22">
        <v>46126</v>
      </c>
      <c r="B56" s="22" t="s">
        <v>18</v>
      </c>
      <c r="C56" s="27" t="s">
        <v>125</v>
      </c>
      <c r="D56" s="27"/>
      <c r="E56" s="27" t="s">
        <v>33</v>
      </c>
      <c r="F56" s="27" t="s">
        <v>15</v>
      </c>
      <c r="G56" s="28" t="s">
        <v>237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2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238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2" x14ac:dyDescent="0.2">
      <c r="A58" s="22">
        <v>46126</v>
      </c>
      <c r="B58" s="22" t="s">
        <v>18</v>
      </c>
      <c r="C58" s="27" t="s">
        <v>125</v>
      </c>
      <c r="D58" s="27"/>
      <c r="E58" s="27" t="s">
        <v>33</v>
      </c>
      <c r="F58" s="27" t="s">
        <v>15</v>
      </c>
      <c r="G58" s="28" t="s">
        <v>239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2" x14ac:dyDescent="0.2">
      <c r="A59" s="22">
        <v>46126</v>
      </c>
      <c r="B59" s="22" t="s">
        <v>18</v>
      </c>
      <c r="C59" s="27" t="s">
        <v>125</v>
      </c>
      <c r="D59" s="27"/>
      <c r="E59" s="27" t="s">
        <v>33</v>
      </c>
      <c r="F59" s="27" t="s">
        <v>15</v>
      </c>
      <c r="G59" s="28" t="s">
        <v>239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799999999999997" x14ac:dyDescent="0.2">
      <c r="A60" s="22">
        <v>46126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236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2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221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2" x14ac:dyDescent="0.2">
      <c r="A62" s="22">
        <v>46127</v>
      </c>
      <c r="B62" s="22" t="s">
        <v>19</v>
      </c>
      <c r="C62" s="27" t="s">
        <v>125</v>
      </c>
      <c r="D62" s="27"/>
      <c r="E62" s="27" t="s">
        <v>33</v>
      </c>
      <c r="F62" s="27" t="s">
        <v>15</v>
      </c>
      <c r="G62" s="28" t="s">
        <v>240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799999999999997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241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2" x14ac:dyDescent="0.2">
      <c r="A64" s="22">
        <v>46127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239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2" x14ac:dyDescent="0.2">
      <c r="A65" s="22">
        <v>46127</v>
      </c>
      <c r="B65" s="22" t="s">
        <v>19</v>
      </c>
      <c r="C65" s="27" t="s">
        <v>125</v>
      </c>
      <c r="D65" s="27"/>
      <c r="E65" s="27" t="s">
        <v>33</v>
      </c>
      <c r="F65" s="27" t="s">
        <v>15</v>
      </c>
      <c r="G65" s="28" t="s">
        <v>239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799999999999997" x14ac:dyDescent="0.2">
      <c r="A66" s="22">
        <v>46127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236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2" x14ac:dyDescent="0.2">
      <c r="A67" s="22">
        <v>46128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221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2" x14ac:dyDescent="0.2">
      <c r="A68" s="22">
        <v>46128</v>
      </c>
      <c r="B68" s="22" t="s">
        <v>20</v>
      </c>
      <c r="C68" s="27" t="s">
        <v>125</v>
      </c>
      <c r="D68" s="27"/>
      <c r="E68" s="27" t="s">
        <v>33</v>
      </c>
      <c r="F68" s="27" t="s">
        <v>15</v>
      </c>
      <c r="G68" s="28" t="s">
        <v>239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799999999999997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241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2" x14ac:dyDescent="0.2">
      <c r="A70" s="22">
        <v>46128</v>
      </c>
      <c r="B70" s="22" t="s">
        <v>20</v>
      </c>
      <c r="C70" s="27" t="s">
        <v>125</v>
      </c>
      <c r="D70" s="27"/>
      <c r="E70" s="27" t="s">
        <v>33</v>
      </c>
      <c r="F70" s="27" t="s">
        <v>15</v>
      </c>
      <c r="G70" s="28" t="s">
        <v>239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2" x14ac:dyDescent="0.2">
      <c r="A71" s="22">
        <v>46128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239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799999999999997" x14ac:dyDescent="0.2">
      <c r="A72" s="22">
        <v>46128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236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2" x14ac:dyDescent="0.2">
      <c r="A73" s="22">
        <v>46129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221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2" x14ac:dyDescent="0.2">
      <c r="A74" s="22">
        <v>46129</v>
      </c>
      <c r="B74" s="22" t="s">
        <v>11</v>
      </c>
      <c r="C74" s="27" t="s">
        <v>125</v>
      </c>
      <c r="D74" s="27"/>
      <c r="E74" s="27" t="s">
        <v>33</v>
      </c>
      <c r="F74" s="27" t="s">
        <v>15</v>
      </c>
      <c r="G74" s="28" t="s">
        <v>239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799999999999997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241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2" x14ac:dyDescent="0.2">
      <c r="A76" s="22">
        <v>46129</v>
      </c>
      <c r="B76" s="22" t="s">
        <v>11</v>
      </c>
      <c r="C76" s="27" t="s">
        <v>125</v>
      </c>
      <c r="D76" s="27"/>
      <c r="E76" s="27" t="s">
        <v>33</v>
      </c>
      <c r="F76" s="27" t="s">
        <v>15</v>
      </c>
      <c r="G76" s="28" t="s">
        <v>239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2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242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2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221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2" x14ac:dyDescent="0.2">
      <c r="A81" s="22">
        <v>46132</v>
      </c>
      <c r="B81" s="22" t="s">
        <v>17</v>
      </c>
      <c r="C81" s="27" t="s">
        <v>125</v>
      </c>
      <c r="D81" s="27"/>
      <c r="E81" s="27" t="s">
        <v>33</v>
      </c>
      <c r="F81" s="27" t="s">
        <v>15</v>
      </c>
      <c r="G81" s="28" t="s">
        <v>230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2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244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2" x14ac:dyDescent="0.2">
      <c r="A83" s="22">
        <v>46132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230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799999999999997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243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799999999999997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245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2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221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2" x14ac:dyDescent="0.2">
      <c r="A87" s="22">
        <v>46133</v>
      </c>
      <c r="B87" s="22" t="s">
        <v>18</v>
      </c>
      <c r="C87" s="27" t="s">
        <v>125</v>
      </c>
      <c r="D87" s="27"/>
      <c r="E87" s="27" t="s">
        <v>33</v>
      </c>
      <c r="F87" s="27" t="s">
        <v>15</v>
      </c>
      <c r="G87" s="28" t="s">
        <v>230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799999999999997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243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2" x14ac:dyDescent="0.2">
      <c r="A89" s="22">
        <v>46133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230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799999999999997" x14ac:dyDescent="0.2">
      <c r="A90" s="22">
        <v>46133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243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2" x14ac:dyDescent="0.2">
      <c r="A91" s="22">
        <v>46134</v>
      </c>
      <c r="B91" s="22" t="s">
        <v>19</v>
      </c>
      <c r="C91" s="27" t="s">
        <v>125</v>
      </c>
      <c r="D91" s="27"/>
      <c r="E91" s="27" t="s">
        <v>62</v>
      </c>
      <c r="F91" s="27" t="s">
        <v>15</v>
      </c>
      <c r="G91" s="28" t="s">
        <v>221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33</v>
      </c>
      <c r="F92" s="27" t="s">
        <v>15</v>
      </c>
      <c r="G92" s="27" t="s">
        <v>230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7" t="s">
        <v>243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33</v>
      </c>
      <c r="F94" s="27" t="s">
        <v>15</v>
      </c>
      <c r="G94" s="27" t="s">
        <v>230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7" t="s">
        <v>245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2" x14ac:dyDescent="0.2">
      <c r="A96" s="22">
        <v>46135</v>
      </c>
      <c r="B96" s="22" t="s">
        <v>20</v>
      </c>
      <c r="C96" s="27" t="s">
        <v>125</v>
      </c>
      <c r="D96" s="27"/>
      <c r="E96" s="27" t="s">
        <v>62</v>
      </c>
      <c r="F96" s="27" t="s">
        <v>15</v>
      </c>
      <c r="G96" s="28" t="s">
        <v>221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2" x14ac:dyDescent="0.2">
      <c r="A97" s="22">
        <v>46135</v>
      </c>
      <c r="B97" s="22" t="s">
        <v>20</v>
      </c>
      <c r="C97" s="27" t="s">
        <v>125</v>
      </c>
      <c r="D97" s="27"/>
      <c r="E97" s="27" t="s">
        <v>33</v>
      </c>
      <c r="F97" s="27" t="s">
        <v>15</v>
      </c>
      <c r="G97" s="28" t="s">
        <v>230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799999999999997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243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2" x14ac:dyDescent="0.2">
      <c r="A99" s="22">
        <v>46135</v>
      </c>
      <c r="B99" s="22" t="s">
        <v>20</v>
      </c>
      <c r="C99" s="27" t="s">
        <v>125</v>
      </c>
      <c r="D99" s="27"/>
      <c r="E99" s="27" t="s">
        <v>33</v>
      </c>
      <c r="F99" s="27" t="s">
        <v>15</v>
      </c>
      <c r="G99" s="28" t="s">
        <v>230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799999999999997" x14ac:dyDescent="0.2">
      <c r="A100" s="22">
        <v>46135</v>
      </c>
      <c r="B100" s="22" t="s">
        <v>20</v>
      </c>
      <c r="C100" s="27" t="s">
        <v>125</v>
      </c>
      <c r="D100" s="27"/>
      <c r="E100" s="27" t="s">
        <v>33</v>
      </c>
      <c r="F100" s="27" t="s">
        <v>15</v>
      </c>
      <c r="G100" s="28" t="s">
        <v>245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2" x14ac:dyDescent="0.2">
      <c r="A101" s="22">
        <v>46135</v>
      </c>
      <c r="B101" s="22" t="s">
        <v>246</v>
      </c>
      <c r="C101" s="27" t="s">
        <v>125</v>
      </c>
      <c r="D101" s="27"/>
      <c r="E101" s="27" t="s">
        <v>62</v>
      </c>
      <c r="F101" s="27" t="s">
        <v>15</v>
      </c>
      <c r="G101" s="28" t="s">
        <v>247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2" x14ac:dyDescent="0.2">
      <c r="A102" s="22">
        <v>46136</v>
      </c>
      <c r="B102" s="22" t="s">
        <v>11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2" x14ac:dyDescent="0.2">
      <c r="A103" s="22">
        <v>46136</v>
      </c>
      <c r="B103" s="22" t="s">
        <v>11</v>
      </c>
      <c r="C103" s="27" t="s">
        <v>125</v>
      </c>
      <c r="D103" s="27"/>
      <c r="E103" s="27" t="s">
        <v>33</v>
      </c>
      <c r="F103" s="27" t="s">
        <v>15</v>
      </c>
      <c r="G103" s="28" t="s">
        <v>230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799999999999997" x14ac:dyDescent="0.2">
      <c r="A104" s="22">
        <v>46136</v>
      </c>
      <c r="B104" s="22" t="s">
        <v>11</v>
      </c>
      <c r="C104" s="27" t="s">
        <v>125</v>
      </c>
      <c r="D104" s="27"/>
      <c r="E104" s="27" t="s">
        <v>62</v>
      </c>
      <c r="F104" s="27" t="s">
        <v>15</v>
      </c>
      <c r="G104" s="28" t="s">
        <v>248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2" x14ac:dyDescent="0.2">
      <c r="A105" s="22">
        <v>46136</v>
      </c>
      <c r="B105" s="22" t="s">
        <v>11</v>
      </c>
      <c r="C105" s="27" t="s">
        <v>125</v>
      </c>
      <c r="D105" s="27"/>
      <c r="E105" s="27" t="s">
        <v>33</v>
      </c>
      <c r="F105" s="27" t="s">
        <v>15</v>
      </c>
      <c r="G105" s="28" t="s">
        <v>230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2" x14ac:dyDescent="0.2">
      <c r="A106" s="22">
        <v>46136</v>
      </c>
      <c r="B106" s="22" t="s">
        <v>11</v>
      </c>
      <c r="C106" s="27" t="s">
        <v>125</v>
      </c>
      <c r="D106" s="27"/>
      <c r="E106" s="27" t="s">
        <v>33</v>
      </c>
      <c r="F106" s="27" t="s">
        <v>15</v>
      </c>
      <c r="G106" s="28" t="s">
        <v>230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799999999999997" x14ac:dyDescent="0.2">
      <c r="A107" s="22">
        <v>46136</v>
      </c>
      <c r="B107" s="22" t="s">
        <v>11</v>
      </c>
      <c r="C107" s="27" t="s">
        <v>125</v>
      </c>
      <c r="D107" s="27"/>
      <c r="E107" s="27" t="s">
        <v>62</v>
      </c>
      <c r="F107" s="27" t="s">
        <v>15</v>
      </c>
      <c r="G107" s="28" t="s">
        <v>249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2" x14ac:dyDescent="0.2">
      <c r="A108" s="22">
        <v>46136</v>
      </c>
      <c r="B108" s="22" t="s">
        <v>11</v>
      </c>
      <c r="C108" s="27" t="s">
        <v>125</v>
      </c>
      <c r="D108" s="27"/>
      <c r="E108" s="27" t="s">
        <v>33</v>
      </c>
      <c r="F108" s="27" t="s">
        <v>15</v>
      </c>
      <c r="G108" s="28" t="s">
        <v>250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2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251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 x14ac:dyDescent="0.2">
      <c r="A110" s="31">
        <v>46137</v>
      </c>
      <c r="B110" s="31" t="s">
        <v>14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 x14ac:dyDescent="0.2">
      <c r="A111" s="31">
        <v>46138</v>
      </c>
      <c r="B111" s="31" t="s">
        <v>16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 x14ac:dyDescent="0.2">
      <c r="A112" s="47">
        <v>46139</v>
      </c>
      <c r="B112" s="47" t="s">
        <v>17</v>
      </c>
      <c r="C112" s="48" t="s">
        <v>125</v>
      </c>
      <c r="D112" s="48"/>
      <c r="E112" s="48" t="s">
        <v>89</v>
      </c>
      <c r="F112" s="48" t="s">
        <v>15</v>
      </c>
      <c r="G112" s="49" t="s">
        <v>179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2" x14ac:dyDescent="0.2">
      <c r="A113" s="22">
        <v>46140</v>
      </c>
      <c r="B113" s="22" t="s">
        <v>18</v>
      </c>
      <c r="C113" s="27" t="s">
        <v>125</v>
      </c>
      <c r="D113" s="27"/>
      <c r="E113" s="27" t="s">
        <v>62</v>
      </c>
      <c r="F113" s="27" t="s">
        <v>15</v>
      </c>
      <c r="G113" s="28" t="s">
        <v>221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799999999999997" x14ac:dyDescent="0.2">
      <c r="A114" s="22">
        <v>46140</v>
      </c>
      <c r="B114" s="22" t="s">
        <v>18</v>
      </c>
      <c r="C114" s="27" t="s">
        <v>125</v>
      </c>
      <c r="D114" s="27"/>
      <c r="E114" s="27" t="s">
        <v>33</v>
      </c>
      <c r="F114" s="27" t="s">
        <v>15</v>
      </c>
      <c r="G114" s="28" t="s">
        <v>253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799999999999997" x14ac:dyDescent="0.2">
      <c r="A115" s="22">
        <v>46140</v>
      </c>
      <c r="B115" s="22" t="s">
        <v>18</v>
      </c>
      <c r="C115" s="27" t="s">
        <v>125</v>
      </c>
      <c r="D115" s="27"/>
      <c r="E115" s="27" t="s">
        <v>62</v>
      </c>
      <c r="F115" s="27" t="s">
        <v>15</v>
      </c>
      <c r="G115" s="28" t="s">
        <v>243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799999999999997" x14ac:dyDescent="0.2">
      <c r="A116" s="22">
        <v>46140</v>
      </c>
      <c r="B116" s="22" t="s">
        <v>18</v>
      </c>
      <c r="C116" s="27" t="s">
        <v>125</v>
      </c>
      <c r="D116" s="27"/>
      <c r="E116" s="27" t="s">
        <v>33</v>
      </c>
      <c r="F116" s="27" t="s">
        <v>15</v>
      </c>
      <c r="G116" s="28" t="s">
        <v>252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799999999999997" x14ac:dyDescent="0.2">
      <c r="A117" s="22">
        <v>46140</v>
      </c>
      <c r="B117" s="22" t="s">
        <v>18</v>
      </c>
      <c r="C117" s="27" t="s">
        <v>125</v>
      </c>
      <c r="D117" s="27"/>
      <c r="E117" s="27" t="s">
        <v>62</v>
      </c>
      <c r="F117" s="27" t="s">
        <v>15</v>
      </c>
      <c r="G117" s="28" t="s">
        <v>249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799999999999997" x14ac:dyDescent="0.2">
      <c r="A118" s="22">
        <v>46140</v>
      </c>
      <c r="B118" s="22" t="s">
        <v>18</v>
      </c>
      <c r="C118" s="27" t="s">
        <v>125</v>
      </c>
      <c r="D118" s="27"/>
      <c r="E118" s="27" t="s">
        <v>62</v>
      </c>
      <c r="F118" s="27" t="s">
        <v>15</v>
      </c>
      <c r="G118" s="28" t="s">
        <v>245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2" x14ac:dyDescent="0.2">
      <c r="A119" s="22">
        <v>46141</v>
      </c>
      <c r="B119" s="22" t="s">
        <v>19</v>
      </c>
      <c r="C119" s="27" t="s">
        <v>125</v>
      </c>
      <c r="D119" s="27"/>
      <c r="E119" s="27" t="s">
        <v>62</v>
      </c>
      <c r="F119" s="27" t="s">
        <v>15</v>
      </c>
      <c r="G119" s="28" t="s">
        <v>221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2" x14ac:dyDescent="0.2">
      <c r="A120" s="22">
        <v>46141</v>
      </c>
      <c r="B120" s="22" t="s">
        <v>19</v>
      </c>
      <c r="C120" s="27" t="s">
        <v>125</v>
      </c>
      <c r="D120" s="27"/>
      <c r="E120" s="27" t="s">
        <v>33</v>
      </c>
      <c r="F120" s="27" t="s">
        <v>15</v>
      </c>
      <c r="G120" s="28" t="s">
        <v>255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799999999999997" x14ac:dyDescent="0.2">
      <c r="A121" s="22">
        <v>46141</v>
      </c>
      <c r="B121" s="22" t="s">
        <v>19</v>
      </c>
      <c r="C121" s="27" t="s">
        <v>125</v>
      </c>
      <c r="D121" s="27"/>
      <c r="E121" s="27" t="s">
        <v>62</v>
      </c>
      <c r="F121" s="27" t="s">
        <v>15</v>
      </c>
      <c r="G121" s="28" t="s">
        <v>249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2" x14ac:dyDescent="0.2">
      <c r="A122" s="22">
        <v>46141</v>
      </c>
      <c r="B122" s="22" t="s">
        <v>19</v>
      </c>
      <c r="C122" s="27" t="s">
        <v>125</v>
      </c>
      <c r="D122" s="27"/>
      <c r="E122" s="27" t="s">
        <v>62</v>
      </c>
      <c r="F122" s="27" t="s">
        <v>15</v>
      </c>
      <c r="G122" s="28" t="s">
        <v>244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2" x14ac:dyDescent="0.2">
      <c r="A123" s="22">
        <v>46141</v>
      </c>
      <c r="B123" s="22" t="s">
        <v>19</v>
      </c>
      <c r="C123" s="27" t="s">
        <v>125</v>
      </c>
      <c r="D123" s="27"/>
      <c r="E123" s="27" t="s">
        <v>33</v>
      </c>
      <c r="F123" s="27" t="s">
        <v>15</v>
      </c>
      <c r="G123" s="28" t="s">
        <v>254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2" x14ac:dyDescent="0.2">
      <c r="A124" s="22">
        <v>46141</v>
      </c>
      <c r="B124" s="22" t="s">
        <v>19</v>
      </c>
      <c r="C124" s="27" t="s">
        <v>125</v>
      </c>
      <c r="D124" s="27"/>
      <c r="E124" s="27" t="s">
        <v>33</v>
      </c>
      <c r="F124" s="27" t="s">
        <v>15</v>
      </c>
      <c r="G124" s="28" t="s">
        <v>256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799999999999997" x14ac:dyDescent="0.2">
      <c r="A125" s="22">
        <v>46141</v>
      </c>
      <c r="B125" s="22" t="s">
        <v>19</v>
      </c>
      <c r="C125" s="27" t="s">
        <v>125</v>
      </c>
      <c r="D125" s="27"/>
      <c r="E125" s="27" t="s">
        <v>62</v>
      </c>
      <c r="F125" s="27" t="s">
        <v>15</v>
      </c>
      <c r="G125" s="28" t="s">
        <v>257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2" x14ac:dyDescent="0.2">
      <c r="A126" s="22">
        <v>46142</v>
      </c>
      <c r="B126" s="22" t="s">
        <v>20</v>
      </c>
      <c r="C126" s="27" t="s">
        <v>125</v>
      </c>
      <c r="D126" s="27"/>
      <c r="E126" s="27" t="s">
        <v>62</v>
      </c>
      <c r="F126" s="27" t="s">
        <v>15</v>
      </c>
      <c r="G126" s="28" t="s">
        <v>221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2" x14ac:dyDescent="0.2">
      <c r="A127" s="22">
        <v>46142</v>
      </c>
      <c r="B127" s="22" t="s">
        <v>20</v>
      </c>
      <c r="C127" s="27" t="s">
        <v>125</v>
      </c>
      <c r="D127" s="27"/>
      <c r="E127" s="27" t="s">
        <v>33</v>
      </c>
      <c r="F127" s="27" t="s">
        <v>15</v>
      </c>
      <c r="G127" s="28" t="s">
        <v>256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799999999999997" x14ac:dyDescent="0.2">
      <c r="A128" s="22">
        <v>46142</v>
      </c>
      <c r="B128" s="22" t="s">
        <v>20</v>
      </c>
      <c r="C128" s="27" t="s">
        <v>125</v>
      </c>
      <c r="D128" s="27"/>
      <c r="E128" s="27" t="s">
        <v>62</v>
      </c>
      <c r="F128" s="27" t="s">
        <v>15</v>
      </c>
      <c r="G128" s="28" t="s">
        <v>258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2" x14ac:dyDescent="0.2">
      <c r="A129" s="22">
        <v>46142</v>
      </c>
      <c r="B129" s="22" t="s">
        <v>20</v>
      </c>
      <c r="C129" s="27" t="s">
        <v>125</v>
      </c>
      <c r="D129" s="27"/>
      <c r="E129" s="27" t="s">
        <v>33</v>
      </c>
      <c r="F129" s="27" t="s">
        <v>15</v>
      </c>
      <c r="G129" s="28" t="s">
        <v>256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2" x14ac:dyDescent="0.2">
      <c r="A130" s="22">
        <v>46142</v>
      </c>
      <c r="B130" s="22" t="s">
        <v>20</v>
      </c>
      <c r="C130" s="27" t="s">
        <v>125</v>
      </c>
      <c r="D130" s="27"/>
      <c r="E130" s="27" t="s">
        <v>33</v>
      </c>
      <c r="F130" s="27" t="s">
        <v>15</v>
      </c>
      <c r="G130" s="28" t="s">
        <v>259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799999999999997" x14ac:dyDescent="0.2">
      <c r="A131" s="22">
        <v>46142</v>
      </c>
      <c r="B131" s="22" t="s">
        <v>20</v>
      </c>
      <c r="C131" s="27" t="s">
        <v>125</v>
      </c>
      <c r="D131" s="27"/>
      <c r="E131" s="27" t="s">
        <v>62</v>
      </c>
      <c r="F131" s="27" t="s">
        <v>15</v>
      </c>
      <c r="G131" s="28" t="s">
        <v>249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 x14ac:dyDescent="0.2">
      <c r="A132" s="22">
        <v>46142</v>
      </c>
      <c r="B132" s="22" t="s">
        <v>20</v>
      </c>
      <c r="C132" s="27" t="s">
        <v>125</v>
      </c>
      <c r="D132" s="27"/>
      <c r="E132" s="27" t="s">
        <v>62</v>
      </c>
      <c r="F132" s="27" t="s">
        <v>15</v>
      </c>
      <c r="G132" s="28" t="s">
        <v>260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5" customHeight="1" thickBot="1" x14ac:dyDescent="0.25">
      <c r="A133" s="46"/>
      <c r="B133" s="46"/>
      <c r="G133" s="40"/>
      <c r="H133" s="64"/>
      <c r="I133" s="65"/>
      <c r="J133" s="65"/>
    </row>
    <row r="134" spans="1:10" ht="13.95" customHeight="1" x14ac:dyDescent="0.25">
      <c r="A134" s="4"/>
      <c r="B134" s="4"/>
      <c r="C134" s="5"/>
      <c r="D134" s="6"/>
      <c r="E134" s="7" t="s">
        <v>21</v>
      </c>
      <c r="F134" s="8">
        <v>152</v>
      </c>
      <c r="H134" s="40"/>
    </row>
    <row r="135" spans="1:10" ht="13.95" customHeight="1" thickBot="1" x14ac:dyDescent="0.3">
      <c r="A135" s="4"/>
      <c r="B135" s="4"/>
      <c r="C135" s="9"/>
      <c r="D135" s="2"/>
      <c r="E135" s="10" t="s">
        <v>22</v>
      </c>
      <c r="F135" s="11">
        <v>19</v>
      </c>
      <c r="H135" s="40"/>
    </row>
    <row r="136" spans="1:10" ht="13.95" customHeight="1" thickBot="1" x14ac:dyDescent="0.3">
      <c r="A136" s="127" t="s">
        <v>23</v>
      </c>
      <c r="B136" s="127"/>
      <c r="C136" s="127"/>
      <c r="D136" s="12"/>
      <c r="E136" s="2"/>
      <c r="F136" s="2"/>
      <c r="H136" s="40"/>
    </row>
    <row r="137" spans="1:10" ht="13.8" x14ac:dyDescent="0.25">
      <c r="A137" s="13"/>
      <c r="B137" s="13"/>
      <c r="C137" s="6"/>
      <c r="D137" s="6"/>
      <c r="E137" s="14" t="s">
        <v>24</v>
      </c>
      <c r="F137" s="15">
        <f>SUMIF(F9:F132,"Billable",H9:H132)</f>
        <v>0</v>
      </c>
      <c r="H137" s="38"/>
    </row>
    <row r="138" spans="1:10" ht="15" customHeight="1" thickBot="1" x14ac:dyDescent="0.3">
      <c r="A138" s="128" t="s">
        <v>25</v>
      </c>
      <c r="B138" s="128"/>
      <c r="C138" s="128"/>
      <c r="D138" s="16"/>
      <c r="E138" s="17" t="s">
        <v>26</v>
      </c>
      <c r="F138" s="18">
        <f>SUMIF(F9:F132,"Non-Billable",H9:H132)</f>
        <v>7.6631944444444482</v>
      </c>
      <c r="H138" s="40"/>
    </row>
    <row r="139" spans="1:10" ht="14.4" thickBot="1" x14ac:dyDescent="0.3">
      <c r="A139" s="2"/>
      <c r="B139" s="2"/>
      <c r="C139" s="2"/>
      <c r="D139" s="2"/>
      <c r="E139" s="19" t="s">
        <v>27</v>
      </c>
      <c r="F139" s="44">
        <f>F137+F138</f>
        <v>7.6631944444444482</v>
      </c>
      <c r="H139" s="40"/>
    </row>
    <row r="140" spans="1:10" ht="13.8" thickBot="1" x14ac:dyDescent="0.3">
      <c r="A140" s="2"/>
      <c r="B140" s="2"/>
      <c r="C140" s="2"/>
      <c r="D140" s="2"/>
      <c r="E140" s="2"/>
      <c r="F140" s="2"/>
      <c r="H140" s="40"/>
    </row>
    <row r="141" spans="1:10" ht="13.8" thickBot="1" x14ac:dyDescent="0.3">
      <c r="A141" s="2"/>
      <c r="B141" s="2"/>
      <c r="C141" s="2"/>
      <c r="D141" s="2"/>
      <c r="E141" s="20" t="s">
        <v>28</v>
      </c>
      <c r="F141" s="21"/>
      <c r="H141" s="40"/>
    </row>
    <row r="142" spans="1:10" ht="13.2" thickBot="1" x14ac:dyDescent="0.25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4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34:E134 D136:E138 E141">
    <cfRule type="containsText" dxfId="86" priority="3" operator="containsText" text="Religious Leave">
      <formula>NOT(ISERROR(SEARCH("Religious Leave",D134)))</formula>
    </cfRule>
    <cfRule type="containsText" dxfId="85" priority="4" operator="containsText" text="Birthday Leave">
      <formula>NOT(ISERROR(SEARCH("Birthday Leave",D134)))</formula>
    </cfRule>
    <cfRule type="containsText" dxfId="84" priority="5" operator="containsText" text="Study Leave">
      <formula>NOT(ISERROR(SEARCH("Study Leave",D134)))</formula>
    </cfRule>
    <cfRule type="containsText" dxfId="83" priority="6" operator="containsText" text="Family Responsibility Leave">
      <formula>NOT(ISERROR(SEARCH("Family Responsibility Leave",D134)))</formula>
    </cfRule>
    <cfRule type="containsText" dxfId="82" priority="7" operator="containsText" text="Sick Leave">
      <formula>NOT(ISERROR(SEARCH("Sick Leave",D134)))</formula>
    </cfRule>
    <cfRule type="containsText" dxfId="81" priority="8" operator="containsText" text="Annual Leave">
      <formula>NOT(ISERROR(SEARCH("Annual Leave",D134)))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M129"/>
  <sheetViews>
    <sheetView topLeftCell="A98" zoomScale="60" zoomScaleNormal="60" workbookViewId="0">
      <selection activeCell="G106" sqref="G10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3" x14ac:dyDescent="0.2">
      <c r="A5" s="37" t="s">
        <v>2</v>
      </c>
      <c r="B5" s="23" t="s">
        <v>207</v>
      </c>
      <c r="C5" s="37"/>
      <c r="H5" s="40"/>
    </row>
    <row r="6" spans="1:13" x14ac:dyDescent="0.2">
      <c r="A6" s="37" t="s">
        <v>93</v>
      </c>
      <c r="B6" s="72">
        <f>F124</f>
        <v>0</v>
      </c>
      <c r="C6" s="37"/>
      <c r="D6" s="37"/>
      <c r="E6" s="37"/>
      <c r="H6" s="40"/>
      <c r="J6" s="41"/>
    </row>
    <row r="7" spans="1:13" x14ac:dyDescent="0.2">
      <c r="H7" s="40"/>
    </row>
    <row r="8" spans="1:13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3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9" si="0">J9-I9</f>
        <v>0.33333333333333331</v>
      </c>
      <c r="I9" s="51">
        <v>0.33333333333333331</v>
      </c>
      <c r="J9" s="51">
        <v>0.66666666666666663</v>
      </c>
    </row>
    <row r="10" spans="1:13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3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3" x14ac:dyDescent="0.2">
      <c r="A12" s="22">
        <v>46146</v>
      </c>
      <c r="B12" s="22" t="s">
        <v>17</v>
      </c>
      <c r="C12" s="27" t="s">
        <v>57</v>
      </c>
      <c r="D12" s="27"/>
      <c r="E12" s="27" t="s">
        <v>62</v>
      </c>
      <c r="F12" s="27" t="s">
        <v>15</v>
      </c>
      <c r="G12" s="28" t="s">
        <v>261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3" x14ac:dyDescent="0.2">
      <c r="A13" s="22">
        <v>46147</v>
      </c>
      <c r="B13" s="22" t="s">
        <v>18</v>
      </c>
      <c r="C13" s="27" t="s">
        <v>57</v>
      </c>
      <c r="D13" s="27"/>
      <c r="E13" s="27" t="s">
        <v>62</v>
      </c>
      <c r="F13" s="27" t="s">
        <v>15</v>
      </c>
      <c r="G13" s="28" t="s">
        <v>261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3" x14ac:dyDescent="0.2">
      <c r="A14" s="22">
        <v>46148</v>
      </c>
      <c r="B14" s="22" t="s">
        <v>19</v>
      </c>
      <c r="C14" s="27" t="s">
        <v>57</v>
      </c>
      <c r="D14" s="27"/>
      <c r="E14" s="27" t="s">
        <v>62</v>
      </c>
      <c r="F14" s="27" t="s">
        <v>15</v>
      </c>
      <c r="G14" s="28" t="s">
        <v>261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3" x14ac:dyDescent="0.2">
      <c r="A15" s="22">
        <v>46149</v>
      </c>
      <c r="B15" s="22" t="s">
        <v>20</v>
      </c>
      <c r="C15" s="27" t="s">
        <v>57</v>
      </c>
      <c r="D15" s="27"/>
      <c r="E15" s="27" t="s">
        <v>62</v>
      </c>
      <c r="F15" s="27" t="s">
        <v>15</v>
      </c>
      <c r="G15" s="28" t="s">
        <v>261</v>
      </c>
      <c r="H15" s="29">
        <f>J15-I15</f>
        <v>0.29166666666666663</v>
      </c>
      <c r="I15" s="30">
        <v>0.375</v>
      </c>
      <c r="J15" s="30">
        <v>0.66666666666666663</v>
      </c>
      <c r="K15" s="64"/>
    </row>
    <row r="16" spans="1:13" x14ac:dyDescent="0.2">
      <c r="A16" s="22">
        <v>46150</v>
      </c>
      <c r="B16" s="22" t="s">
        <v>11</v>
      </c>
      <c r="C16" s="27" t="s">
        <v>57</v>
      </c>
      <c r="D16" s="27"/>
      <c r="E16" s="27" t="s">
        <v>62</v>
      </c>
      <c r="F16" s="27" t="s">
        <v>15</v>
      </c>
      <c r="G16" s="28" t="s">
        <v>261</v>
      </c>
      <c r="H16" s="29">
        <f t="shared" si="0"/>
        <v>0.21875</v>
      </c>
      <c r="I16" s="30">
        <v>0.375</v>
      </c>
      <c r="J16" s="30">
        <v>0.59375</v>
      </c>
      <c r="M16" s="64"/>
    </row>
    <row r="17" spans="1:12" ht="25.2" x14ac:dyDescent="0.2">
      <c r="A17" s="22">
        <v>46150</v>
      </c>
      <c r="B17" s="22" t="s">
        <v>11</v>
      </c>
      <c r="C17" s="27" t="s">
        <v>57</v>
      </c>
      <c r="D17" s="27"/>
      <c r="E17" s="27" t="s">
        <v>62</v>
      </c>
      <c r="F17" s="27" t="s">
        <v>15</v>
      </c>
      <c r="G17" s="28" t="s">
        <v>262</v>
      </c>
      <c r="H17" s="29">
        <f t="shared" si="0"/>
        <v>2.083333333333337E-2</v>
      </c>
      <c r="I17" s="30">
        <v>0.60416666666666663</v>
      </c>
      <c r="J17" s="30">
        <v>0.625</v>
      </c>
    </row>
    <row r="18" spans="1:12" x14ac:dyDescent="0.2">
      <c r="A18" s="31">
        <v>46151</v>
      </c>
      <c r="B18" s="31" t="s">
        <v>14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2" x14ac:dyDescent="0.2">
      <c r="A19" s="31">
        <v>46152</v>
      </c>
      <c r="B19" s="31" t="s">
        <v>16</v>
      </c>
      <c r="C19" s="32"/>
      <c r="D19" s="32"/>
      <c r="E19" s="32"/>
      <c r="F19" s="32"/>
      <c r="G19" s="33"/>
      <c r="H19" s="34">
        <f t="shared" si="0"/>
        <v>0</v>
      </c>
      <c r="I19" s="35"/>
      <c r="J19" s="35"/>
      <c r="K19" s="64"/>
    </row>
    <row r="20" spans="1:12" ht="25.2" x14ac:dyDescent="0.2">
      <c r="A20" s="22">
        <v>46153</v>
      </c>
      <c r="B20" s="22" t="s">
        <v>17</v>
      </c>
      <c r="C20" s="27" t="s">
        <v>125</v>
      </c>
      <c r="D20" s="27"/>
      <c r="E20" s="27" t="s">
        <v>62</v>
      </c>
      <c r="F20" s="27" t="s">
        <v>15</v>
      </c>
      <c r="G20" s="28" t="s">
        <v>221</v>
      </c>
      <c r="H20" s="29">
        <f t="shared" si="0"/>
        <v>6.9444444444444753E-3</v>
      </c>
      <c r="I20" s="30">
        <v>0.33333333333333331</v>
      </c>
      <c r="J20" s="30">
        <v>0.34027777777777779</v>
      </c>
    </row>
    <row r="21" spans="1:12" ht="25.2" x14ac:dyDescent="0.2">
      <c r="A21" s="22">
        <v>46153</v>
      </c>
      <c r="B21" s="22" t="s">
        <v>17</v>
      </c>
      <c r="C21" s="27" t="s">
        <v>125</v>
      </c>
      <c r="D21" s="27"/>
      <c r="E21" s="27" t="s">
        <v>33</v>
      </c>
      <c r="F21" s="27" t="s">
        <v>15</v>
      </c>
      <c r="G21" s="28" t="s">
        <v>256</v>
      </c>
      <c r="H21" s="29">
        <f t="shared" si="0"/>
        <v>0.11805555555555552</v>
      </c>
      <c r="I21" s="30">
        <v>0.34027777777777779</v>
      </c>
      <c r="J21" s="30">
        <v>0.45833333333333331</v>
      </c>
    </row>
    <row r="22" spans="1:12" ht="37.799999999999997" x14ac:dyDescent="0.2">
      <c r="A22" s="22">
        <v>46153</v>
      </c>
      <c r="B22" s="22" t="s">
        <v>17</v>
      </c>
      <c r="C22" s="27" t="s">
        <v>125</v>
      </c>
      <c r="D22" s="27"/>
      <c r="E22" s="27" t="s">
        <v>62</v>
      </c>
      <c r="F22" s="27" t="s">
        <v>15</v>
      </c>
      <c r="G22" s="28" t="s">
        <v>263</v>
      </c>
      <c r="H22" s="29">
        <f t="shared" si="0"/>
        <v>2.083333333333337E-2</v>
      </c>
      <c r="I22" s="30">
        <v>0.45833333333333331</v>
      </c>
      <c r="J22" s="30">
        <v>0.47916666666666669</v>
      </c>
    </row>
    <row r="23" spans="1:12" ht="25.2" x14ac:dyDescent="0.2">
      <c r="A23" s="22">
        <v>46153</v>
      </c>
      <c r="B23" s="22" t="s">
        <v>17</v>
      </c>
      <c r="C23" s="27" t="s">
        <v>125</v>
      </c>
      <c r="D23" s="27"/>
      <c r="E23" s="27" t="s">
        <v>33</v>
      </c>
      <c r="F23" s="27" t="s">
        <v>15</v>
      </c>
      <c r="G23" s="28" t="s">
        <v>256</v>
      </c>
      <c r="H23" s="29">
        <f t="shared" si="0"/>
        <v>5.5555555555555525E-2</v>
      </c>
      <c r="I23" s="30">
        <v>0.47916666666666669</v>
      </c>
      <c r="J23" s="30">
        <v>0.53472222222222221</v>
      </c>
    </row>
    <row r="24" spans="1:12" ht="25.2" x14ac:dyDescent="0.2">
      <c r="A24" s="22">
        <v>46153</v>
      </c>
      <c r="B24" s="22" t="s">
        <v>17</v>
      </c>
      <c r="C24" s="27" t="s">
        <v>125</v>
      </c>
      <c r="D24" s="27"/>
      <c r="E24" s="27" t="s">
        <v>33</v>
      </c>
      <c r="F24" s="27" t="s">
        <v>15</v>
      </c>
      <c r="G24" s="28" t="s">
        <v>256</v>
      </c>
      <c r="H24" s="29">
        <f t="shared" si="0"/>
        <v>9.027777777777779E-2</v>
      </c>
      <c r="I24" s="30">
        <v>0.57638888888888884</v>
      </c>
      <c r="J24" s="30">
        <v>0.66666666666666663</v>
      </c>
    </row>
    <row r="25" spans="1:12" ht="37.799999999999997" x14ac:dyDescent="0.2">
      <c r="A25" s="22">
        <v>46153</v>
      </c>
      <c r="B25" s="22" t="s">
        <v>17</v>
      </c>
      <c r="C25" s="27" t="s">
        <v>125</v>
      </c>
      <c r="D25" s="27"/>
      <c r="E25" s="27" t="s">
        <v>62</v>
      </c>
      <c r="F25" s="27" t="s">
        <v>15</v>
      </c>
      <c r="G25" s="28" t="s">
        <v>264</v>
      </c>
      <c r="H25" s="29">
        <f t="shared" si="0"/>
        <v>5.0000000000000044E-2</v>
      </c>
      <c r="I25" s="30">
        <v>0.66666666666666663</v>
      </c>
      <c r="J25" s="30">
        <v>0.71666666666666667</v>
      </c>
    </row>
    <row r="26" spans="1:12" ht="25.2" x14ac:dyDescent="0.2">
      <c r="A26" s="22">
        <v>46154</v>
      </c>
      <c r="B26" s="22" t="s">
        <v>18</v>
      </c>
      <c r="C26" s="27" t="s">
        <v>125</v>
      </c>
      <c r="D26" s="27"/>
      <c r="E26" s="27" t="s">
        <v>62</v>
      </c>
      <c r="F26" s="27" t="s">
        <v>15</v>
      </c>
      <c r="G26" s="28" t="s">
        <v>221</v>
      </c>
      <c r="H26" s="29">
        <f t="shared" si="0"/>
        <v>2.0833333333333259E-3</v>
      </c>
      <c r="I26" s="30">
        <v>0.33333333333333331</v>
      </c>
      <c r="J26" s="30">
        <v>0.33541666666666664</v>
      </c>
    </row>
    <row r="27" spans="1:12" ht="25.2" x14ac:dyDescent="0.2">
      <c r="A27" s="22">
        <v>46154</v>
      </c>
      <c r="B27" s="22" t="s">
        <v>18</v>
      </c>
      <c r="C27" s="27" t="s">
        <v>125</v>
      </c>
      <c r="D27" s="27"/>
      <c r="E27" s="27" t="s">
        <v>33</v>
      </c>
      <c r="F27" s="27" t="s">
        <v>15</v>
      </c>
      <c r="G27" s="28" t="s">
        <v>256</v>
      </c>
      <c r="H27" s="29">
        <f t="shared" si="0"/>
        <v>0.12291666666666667</v>
      </c>
      <c r="I27" s="30">
        <v>0.33541666666666664</v>
      </c>
      <c r="J27" s="30">
        <v>0.45833333333333331</v>
      </c>
    </row>
    <row r="28" spans="1:12" ht="37.799999999999997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263</v>
      </c>
      <c r="H28" s="29">
        <f t="shared" si="0"/>
        <v>3.6805555555555591E-2</v>
      </c>
      <c r="I28" s="30">
        <v>0.45833333333333331</v>
      </c>
      <c r="J28" s="30">
        <v>0.49513888888888891</v>
      </c>
      <c r="L28" s="64"/>
    </row>
    <row r="29" spans="1:12" ht="25.2" x14ac:dyDescent="0.2">
      <c r="A29" s="22">
        <v>46154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259</v>
      </c>
      <c r="H29" s="29">
        <f t="shared" si="0"/>
        <v>3.6111111111111094E-2</v>
      </c>
      <c r="I29" s="30">
        <v>0.49513888888888891</v>
      </c>
      <c r="J29" s="30">
        <v>0.53125</v>
      </c>
      <c r="L29" s="64"/>
    </row>
    <row r="30" spans="1:12" ht="25.2" x14ac:dyDescent="0.2">
      <c r="A30" s="22">
        <v>46154</v>
      </c>
      <c r="B30" s="22" t="s">
        <v>18</v>
      </c>
      <c r="C30" s="27" t="s">
        <v>125</v>
      </c>
      <c r="D30" s="27"/>
      <c r="E30" s="27" t="s">
        <v>33</v>
      </c>
      <c r="F30" s="27" t="s">
        <v>15</v>
      </c>
      <c r="G30" s="125" t="s">
        <v>256</v>
      </c>
      <c r="H30" s="29">
        <f t="shared" si="0"/>
        <v>9.375E-2</v>
      </c>
      <c r="I30" s="30">
        <v>0.57291666666666663</v>
      </c>
      <c r="J30" s="30">
        <v>0.66666666666666663</v>
      </c>
      <c r="L30" s="64"/>
    </row>
    <row r="31" spans="1:12" ht="37.799999999999997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125" t="s">
        <v>264</v>
      </c>
      <c r="H31" s="29">
        <f t="shared" si="0"/>
        <v>4.1666666666666741E-2</v>
      </c>
      <c r="I31" s="30">
        <v>0.66666666666666663</v>
      </c>
      <c r="J31" s="30">
        <v>0.70833333333333337</v>
      </c>
      <c r="L31" s="64"/>
    </row>
    <row r="32" spans="1:12" ht="25.2" x14ac:dyDescent="0.2">
      <c r="A32" s="22">
        <v>46155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221</v>
      </c>
      <c r="H32" s="29">
        <f t="shared" si="0"/>
        <v>1.388888888888884E-3</v>
      </c>
      <c r="I32" s="30">
        <v>0.33333333333333331</v>
      </c>
      <c r="J32" s="30">
        <v>0.3347222222222222</v>
      </c>
      <c r="L32" s="64"/>
    </row>
    <row r="33" spans="1:10" ht="25.2" x14ac:dyDescent="0.2">
      <c r="A33" s="22">
        <v>46155</v>
      </c>
      <c r="B33" s="22" t="s">
        <v>19</v>
      </c>
      <c r="C33" s="27" t="s">
        <v>125</v>
      </c>
      <c r="D33" s="27"/>
      <c r="E33" s="27" t="s">
        <v>33</v>
      </c>
      <c r="F33" s="27" t="s">
        <v>15</v>
      </c>
      <c r="G33" s="28" t="s">
        <v>256</v>
      </c>
      <c r="H33" s="29">
        <f t="shared" si="0"/>
        <v>0.12361111111111112</v>
      </c>
      <c r="I33" s="30">
        <v>0.3347222222222222</v>
      </c>
      <c r="J33" s="30">
        <v>0.45833333333333331</v>
      </c>
    </row>
    <row r="34" spans="1:10" ht="37.799999999999997" x14ac:dyDescent="0.2">
      <c r="A34" s="22">
        <v>46155</v>
      </c>
      <c r="B34" s="22" t="s">
        <v>19</v>
      </c>
      <c r="C34" s="27" t="s">
        <v>125</v>
      </c>
      <c r="D34" s="27"/>
      <c r="E34" s="27" t="s">
        <v>62</v>
      </c>
      <c r="F34" s="27" t="s">
        <v>15</v>
      </c>
      <c r="G34" s="28" t="s">
        <v>263</v>
      </c>
      <c r="H34" s="29">
        <f t="shared" si="0"/>
        <v>2.7083333333333348E-2</v>
      </c>
      <c r="I34" s="30">
        <v>0.45833333333333331</v>
      </c>
      <c r="J34" s="30">
        <v>0.48541666666666666</v>
      </c>
    </row>
    <row r="35" spans="1:10" ht="25.2" x14ac:dyDescent="0.2">
      <c r="A35" s="22">
        <v>46155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259</v>
      </c>
      <c r="H35" s="29">
        <f t="shared" si="0"/>
        <v>4.9305555555555547E-2</v>
      </c>
      <c r="I35" s="30">
        <v>0.48541666666666666</v>
      </c>
      <c r="J35" s="30">
        <v>0.53472222222222221</v>
      </c>
    </row>
    <row r="36" spans="1:10" ht="25.2" x14ac:dyDescent="0.2">
      <c r="A36" s="22">
        <v>46155</v>
      </c>
      <c r="B36" s="22" t="s">
        <v>19</v>
      </c>
      <c r="C36" s="27" t="s">
        <v>125</v>
      </c>
      <c r="D36" s="27"/>
      <c r="E36" s="27" t="s">
        <v>33</v>
      </c>
      <c r="F36" s="27" t="s">
        <v>15</v>
      </c>
      <c r="G36" s="28" t="s">
        <v>256</v>
      </c>
      <c r="H36" s="29">
        <f t="shared" si="0"/>
        <v>9.027777777777779E-2</v>
      </c>
      <c r="I36" s="30">
        <v>0.57638888888888884</v>
      </c>
      <c r="J36" s="30">
        <v>0.66666666666666663</v>
      </c>
    </row>
    <row r="37" spans="1:10" ht="25.2" x14ac:dyDescent="0.2">
      <c r="A37" s="22">
        <v>46155</v>
      </c>
      <c r="B37" s="22" t="s">
        <v>19</v>
      </c>
      <c r="C37" s="27" t="s">
        <v>125</v>
      </c>
      <c r="D37" s="27"/>
      <c r="E37" s="27" t="s">
        <v>62</v>
      </c>
      <c r="F37" s="27" t="s">
        <v>15</v>
      </c>
      <c r="G37" s="125" t="s">
        <v>265</v>
      </c>
      <c r="H37" s="29">
        <f t="shared" si="0"/>
        <v>1.5277777777777835E-2</v>
      </c>
      <c r="I37" s="30">
        <v>0.66666666666666663</v>
      </c>
      <c r="J37" s="30">
        <v>0.68194444444444446</v>
      </c>
    </row>
    <row r="38" spans="1:10" ht="25.2" x14ac:dyDescent="0.2">
      <c r="A38" s="22">
        <v>46155</v>
      </c>
      <c r="B38" s="22" t="s">
        <v>19</v>
      </c>
      <c r="C38" s="27" t="s">
        <v>125</v>
      </c>
      <c r="D38" s="27"/>
      <c r="E38" s="27" t="s">
        <v>62</v>
      </c>
      <c r="F38" s="27" t="s">
        <v>15</v>
      </c>
      <c r="G38" s="125" t="s">
        <v>266</v>
      </c>
      <c r="H38" s="29">
        <f t="shared" si="0"/>
        <v>4.0277777777777746E-2</v>
      </c>
      <c r="I38" s="30">
        <v>0.6875</v>
      </c>
      <c r="J38" s="30">
        <v>0.72777777777777775</v>
      </c>
    </row>
    <row r="39" spans="1:10" ht="25.2" x14ac:dyDescent="0.2">
      <c r="A39" s="22">
        <v>46156</v>
      </c>
      <c r="B39" s="22" t="s">
        <v>20</v>
      </c>
      <c r="C39" s="27" t="s">
        <v>125</v>
      </c>
      <c r="D39" s="27"/>
      <c r="E39" s="27" t="s">
        <v>62</v>
      </c>
      <c r="F39" s="27" t="s">
        <v>15</v>
      </c>
      <c r="G39" s="28" t="s">
        <v>221</v>
      </c>
      <c r="H39" s="29">
        <f t="shared" si="0"/>
        <v>2.0833333333333259E-3</v>
      </c>
      <c r="I39" s="30">
        <v>0.33333333333333331</v>
      </c>
      <c r="J39" s="30">
        <v>0.33541666666666664</v>
      </c>
    </row>
    <row r="40" spans="1:10" ht="25.2" x14ac:dyDescent="0.2">
      <c r="A40" s="22">
        <v>46156</v>
      </c>
      <c r="B40" s="22" t="s">
        <v>20</v>
      </c>
      <c r="C40" s="27" t="s">
        <v>125</v>
      </c>
      <c r="D40" s="27"/>
      <c r="E40" s="27" t="s">
        <v>33</v>
      </c>
      <c r="F40" s="27" t="s">
        <v>15</v>
      </c>
      <c r="G40" s="28" t="s">
        <v>259</v>
      </c>
      <c r="H40" s="29">
        <f t="shared" si="0"/>
        <v>0.12291666666666667</v>
      </c>
      <c r="I40" s="30">
        <v>0.33541666666666664</v>
      </c>
      <c r="J40" s="30">
        <v>0.45833333333333331</v>
      </c>
    </row>
    <row r="41" spans="1:10" ht="37.799999999999997" x14ac:dyDescent="0.2">
      <c r="A41" s="22">
        <v>46156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263</v>
      </c>
      <c r="H41" s="29">
        <f t="shared" si="0"/>
        <v>1.9444444444444486E-2</v>
      </c>
      <c r="I41" s="30">
        <v>0.45833333333333331</v>
      </c>
      <c r="J41" s="30">
        <v>0.4777777777777778</v>
      </c>
    </row>
    <row r="42" spans="1:10" ht="25.2" x14ac:dyDescent="0.2">
      <c r="A42" s="22">
        <v>46156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259</v>
      </c>
      <c r="H42" s="29">
        <f t="shared" si="0"/>
        <v>5.6944444444444409E-2</v>
      </c>
      <c r="I42" s="30">
        <v>0.4777777777777778</v>
      </c>
      <c r="J42" s="30">
        <v>0.53472222222222221</v>
      </c>
    </row>
    <row r="43" spans="1:10" ht="25.2" x14ac:dyDescent="0.2">
      <c r="A43" s="22">
        <v>46156</v>
      </c>
      <c r="B43" s="22" t="s">
        <v>20</v>
      </c>
      <c r="C43" s="27" t="s">
        <v>125</v>
      </c>
      <c r="D43" s="27"/>
      <c r="E43" s="27" t="s">
        <v>33</v>
      </c>
      <c r="F43" s="27" t="s">
        <v>15</v>
      </c>
      <c r="G43" s="28" t="s">
        <v>259</v>
      </c>
      <c r="H43" s="29">
        <f t="shared" si="0"/>
        <v>9.027777777777779E-2</v>
      </c>
      <c r="I43" s="30">
        <v>0.57638888888888884</v>
      </c>
      <c r="J43" s="30">
        <v>0.66666666666666663</v>
      </c>
    </row>
    <row r="44" spans="1:10" ht="37.799999999999997" x14ac:dyDescent="0.2">
      <c r="A44" s="22">
        <v>46156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125" t="s">
        <v>264</v>
      </c>
      <c r="H44" s="29">
        <f t="shared" si="0"/>
        <v>4.5833333333333393E-2</v>
      </c>
      <c r="I44" s="30">
        <v>0.66666666666666663</v>
      </c>
      <c r="J44" s="30">
        <v>0.71250000000000002</v>
      </c>
    </row>
    <row r="45" spans="1:10" x14ac:dyDescent="0.2">
      <c r="A45" s="22">
        <v>46157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7" t="s">
        <v>221</v>
      </c>
      <c r="H45" s="29">
        <f t="shared" si="0"/>
        <v>3.4722222222222654E-3</v>
      </c>
      <c r="I45" s="30">
        <v>0.33333333333333331</v>
      </c>
      <c r="J45" s="30">
        <v>0.33680555555555558</v>
      </c>
    </row>
    <row r="46" spans="1:10" x14ac:dyDescent="0.2">
      <c r="A46" s="22">
        <v>46157</v>
      </c>
      <c r="B46" s="22" t="s">
        <v>11</v>
      </c>
      <c r="C46" s="27" t="s">
        <v>125</v>
      </c>
      <c r="D46" s="27"/>
      <c r="E46" s="27" t="s">
        <v>33</v>
      </c>
      <c r="F46" s="27" t="s">
        <v>15</v>
      </c>
      <c r="G46" s="27" t="s">
        <v>259</v>
      </c>
      <c r="H46" s="29">
        <f t="shared" si="0"/>
        <v>0.12152777777777773</v>
      </c>
      <c r="I46" s="30">
        <v>0.33680555555555558</v>
      </c>
      <c r="J46" s="30">
        <v>0.45833333333333331</v>
      </c>
    </row>
    <row r="47" spans="1:10" x14ac:dyDescent="0.2">
      <c r="A47" s="22">
        <v>46157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7" t="s">
        <v>263</v>
      </c>
      <c r="H47" s="29">
        <f t="shared" si="0"/>
        <v>1.4583333333333337E-2</v>
      </c>
      <c r="I47" s="30">
        <v>0.45833333333333331</v>
      </c>
      <c r="J47" s="30">
        <v>0.47291666666666665</v>
      </c>
    </row>
    <row r="48" spans="1:10" ht="25.2" x14ac:dyDescent="0.2">
      <c r="A48" s="22">
        <v>46157</v>
      </c>
      <c r="B48" s="22" t="s">
        <v>11</v>
      </c>
      <c r="C48" s="27" t="s">
        <v>125</v>
      </c>
      <c r="D48" s="27"/>
      <c r="E48" s="27" t="s">
        <v>33</v>
      </c>
      <c r="F48" s="27" t="s">
        <v>15</v>
      </c>
      <c r="G48" s="28" t="s">
        <v>256</v>
      </c>
      <c r="H48" s="29">
        <f t="shared" si="0"/>
        <v>6.1805555555555558E-2</v>
      </c>
      <c r="I48" s="30">
        <v>0.47291666666666665</v>
      </c>
      <c r="J48" s="30">
        <v>0.53472222222222221</v>
      </c>
    </row>
    <row r="49" spans="1:11" ht="25.2" x14ac:dyDescent="0.2">
      <c r="A49" s="22">
        <v>46157</v>
      </c>
      <c r="B49" s="22" t="s">
        <v>11</v>
      </c>
      <c r="C49" s="27" t="s">
        <v>125</v>
      </c>
      <c r="D49" s="27"/>
      <c r="E49" s="27" t="s">
        <v>33</v>
      </c>
      <c r="F49" s="27" t="s">
        <v>15</v>
      </c>
      <c r="G49" s="28" t="s">
        <v>256</v>
      </c>
      <c r="H49" s="29">
        <f t="shared" si="0"/>
        <v>9.027777777777779E-2</v>
      </c>
      <c r="I49" s="30">
        <v>0.57638888888888884</v>
      </c>
      <c r="J49" s="30">
        <v>0.66666666666666663</v>
      </c>
    </row>
    <row r="50" spans="1:11" ht="37.799999999999997" x14ac:dyDescent="0.2">
      <c r="A50" s="22">
        <v>46157</v>
      </c>
      <c r="B50" s="22" t="s">
        <v>11</v>
      </c>
      <c r="C50" s="27" t="s">
        <v>125</v>
      </c>
      <c r="D50" s="27"/>
      <c r="E50" s="27" t="s">
        <v>62</v>
      </c>
      <c r="F50" s="27" t="s">
        <v>15</v>
      </c>
      <c r="G50" s="125" t="s">
        <v>264</v>
      </c>
      <c r="H50" s="29">
        <f t="shared" si="0"/>
        <v>4.6527777777777835E-2</v>
      </c>
      <c r="I50" s="30">
        <v>0.66666666666666663</v>
      </c>
      <c r="J50" s="30">
        <v>0.71319444444444446</v>
      </c>
    </row>
    <row r="51" spans="1:11" x14ac:dyDescent="0.2">
      <c r="A51" s="31">
        <v>46158</v>
      </c>
      <c r="B51" s="31" t="s">
        <v>14</v>
      </c>
      <c r="C51" s="32"/>
      <c r="D51" s="32"/>
      <c r="E51" s="32"/>
      <c r="F51" s="32"/>
      <c r="G51" s="33"/>
      <c r="H51" s="34">
        <f t="shared" si="0"/>
        <v>0</v>
      </c>
      <c r="I51" s="35"/>
      <c r="J51" s="35"/>
    </row>
    <row r="52" spans="1:11" x14ac:dyDescent="0.2">
      <c r="A52" s="31">
        <v>46159</v>
      </c>
      <c r="B52" s="31" t="s">
        <v>16</v>
      </c>
      <c r="C52" s="32"/>
      <c r="D52" s="32"/>
      <c r="E52" s="32"/>
      <c r="F52" s="32"/>
      <c r="G52" s="33"/>
      <c r="H52" s="34">
        <f t="shared" si="0"/>
        <v>0</v>
      </c>
      <c r="I52" s="35"/>
      <c r="J52" s="35"/>
    </row>
    <row r="53" spans="1:11" ht="25.2" x14ac:dyDescent="0.2">
      <c r="A53" s="22">
        <v>46160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221</v>
      </c>
      <c r="H53" s="29">
        <f t="shared" si="0"/>
        <v>1.8055555555555547E-2</v>
      </c>
      <c r="I53" s="30">
        <v>0.33333333333333331</v>
      </c>
      <c r="J53" s="30">
        <v>0.35138888888888886</v>
      </c>
    </row>
    <row r="54" spans="1:11" ht="25.2" x14ac:dyDescent="0.2">
      <c r="A54" s="22">
        <v>46160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256</v>
      </c>
      <c r="H54" s="29">
        <f t="shared" si="0"/>
        <v>0.10694444444444445</v>
      </c>
      <c r="I54" s="30">
        <v>0.35138888888888886</v>
      </c>
      <c r="J54" s="30">
        <v>0.45833333333333331</v>
      </c>
    </row>
    <row r="55" spans="1:11" ht="37.799999999999997" x14ac:dyDescent="0.2">
      <c r="A55" s="22">
        <v>46160</v>
      </c>
      <c r="B55" s="22" t="s">
        <v>17</v>
      </c>
      <c r="C55" s="27" t="s">
        <v>125</v>
      </c>
      <c r="D55" s="27"/>
      <c r="E55" s="27" t="s">
        <v>62</v>
      </c>
      <c r="F55" s="27" t="s">
        <v>15</v>
      </c>
      <c r="G55" s="28" t="s">
        <v>263</v>
      </c>
      <c r="H55" s="29">
        <f t="shared" si="0"/>
        <v>2.083333333333337E-2</v>
      </c>
      <c r="I55" s="30">
        <v>0.45833333333333331</v>
      </c>
      <c r="J55" s="30">
        <v>0.47916666666666669</v>
      </c>
      <c r="K55" s="64"/>
    </row>
    <row r="56" spans="1:11" ht="25.2" x14ac:dyDescent="0.2">
      <c r="A56" s="22">
        <v>46160</v>
      </c>
      <c r="B56" s="22" t="s">
        <v>17</v>
      </c>
      <c r="C56" s="27" t="s">
        <v>125</v>
      </c>
      <c r="D56" s="27"/>
      <c r="E56" s="27" t="s">
        <v>33</v>
      </c>
      <c r="F56" s="27" t="s">
        <v>15</v>
      </c>
      <c r="G56" s="28" t="s">
        <v>259</v>
      </c>
      <c r="H56" s="29">
        <f t="shared" si="0"/>
        <v>2.4305555555555525E-2</v>
      </c>
      <c r="I56" s="30">
        <v>0.47916666666666669</v>
      </c>
      <c r="J56" s="30">
        <v>0.50347222222222221</v>
      </c>
    </row>
    <row r="57" spans="1:11" ht="25.2" x14ac:dyDescent="0.2">
      <c r="A57" s="22">
        <v>46160</v>
      </c>
      <c r="B57" s="22" t="s">
        <v>17</v>
      </c>
      <c r="C57" s="27" t="s">
        <v>125</v>
      </c>
      <c r="D57" s="27"/>
      <c r="E57" s="27" t="s">
        <v>33</v>
      </c>
      <c r="F57" s="27" t="s">
        <v>15</v>
      </c>
      <c r="G57" s="28" t="s">
        <v>259</v>
      </c>
      <c r="H57" s="29">
        <f t="shared" si="0"/>
        <v>0.12152777777777779</v>
      </c>
      <c r="I57" s="30">
        <v>0.54513888888888884</v>
      </c>
      <c r="J57" s="30">
        <v>0.66666666666666663</v>
      </c>
    </row>
    <row r="58" spans="1:11" ht="37.799999999999997" x14ac:dyDescent="0.2">
      <c r="A58" s="22">
        <v>46160</v>
      </c>
      <c r="B58" s="22" t="s">
        <v>17</v>
      </c>
      <c r="C58" s="27" t="s">
        <v>125</v>
      </c>
      <c r="D58" s="27"/>
      <c r="E58" s="27" t="s">
        <v>62</v>
      </c>
      <c r="F58" s="27" t="s">
        <v>15</v>
      </c>
      <c r="G58" s="28" t="s">
        <v>264</v>
      </c>
      <c r="H58" s="29">
        <f t="shared" si="0"/>
        <v>4.1666666666666741E-2</v>
      </c>
      <c r="I58" s="30">
        <v>0.66666666666666663</v>
      </c>
      <c r="J58" s="30">
        <v>0.70833333333333337</v>
      </c>
    </row>
    <row r="59" spans="1:11" x14ac:dyDescent="0.2">
      <c r="A59" s="22">
        <v>46161</v>
      </c>
      <c r="B59" s="22" t="s">
        <v>18</v>
      </c>
      <c r="C59" s="27"/>
      <c r="D59" s="27"/>
      <c r="E59" s="27" t="s">
        <v>81</v>
      </c>
      <c r="F59" s="27"/>
      <c r="G59" s="28"/>
      <c r="H59" s="29">
        <f t="shared" si="0"/>
        <v>0</v>
      </c>
      <c r="I59" s="30"/>
      <c r="J59" s="30"/>
    </row>
    <row r="60" spans="1:11" ht="25.2" x14ac:dyDescent="0.2">
      <c r="A60" s="22">
        <v>46162</v>
      </c>
      <c r="B60" s="22" t="s">
        <v>19</v>
      </c>
      <c r="C60" s="27" t="s">
        <v>125</v>
      </c>
      <c r="D60" s="27"/>
      <c r="E60" s="27" t="s">
        <v>62</v>
      </c>
      <c r="F60" s="27" t="s">
        <v>15</v>
      </c>
      <c r="G60" s="28" t="s">
        <v>221</v>
      </c>
      <c r="H60" s="29">
        <f t="shared" si="0"/>
        <v>8.3333333333333592E-3</v>
      </c>
      <c r="I60" s="30">
        <v>0.33333333333333331</v>
      </c>
      <c r="J60" s="30">
        <v>0.34166666666666667</v>
      </c>
    </row>
    <row r="61" spans="1:11" ht="25.2" x14ac:dyDescent="0.2">
      <c r="A61" s="22">
        <v>46162</v>
      </c>
      <c r="B61" s="22" t="s">
        <v>19</v>
      </c>
      <c r="C61" s="27" t="s">
        <v>125</v>
      </c>
      <c r="D61" s="27"/>
      <c r="E61" s="27" t="s">
        <v>33</v>
      </c>
      <c r="F61" s="27" t="s">
        <v>15</v>
      </c>
      <c r="G61" s="28" t="s">
        <v>259</v>
      </c>
      <c r="H61" s="29">
        <f t="shared" si="0"/>
        <v>0.11666666666666664</v>
      </c>
      <c r="I61" s="30">
        <v>0.34166666666666667</v>
      </c>
      <c r="J61" s="30">
        <v>0.45833333333333331</v>
      </c>
    </row>
    <row r="62" spans="1:11" ht="37.799999999999997" x14ac:dyDescent="0.2">
      <c r="A62" s="22">
        <v>46162</v>
      </c>
      <c r="B62" s="22" t="s">
        <v>19</v>
      </c>
      <c r="C62" s="27" t="s">
        <v>125</v>
      </c>
      <c r="D62" s="27"/>
      <c r="E62" s="27" t="s">
        <v>62</v>
      </c>
      <c r="F62" s="27" t="s">
        <v>15</v>
      </c>
      <c r="G62" s="28" t="s">
        <v>263</v>
      </c>
      <c r="H62" s="29">
        <f t="shared" si="0"/>
        <v>5.5555555555555913E-3</v>
      </c>
      <c r="I62" s="30">
        <v>0.45833333333333331</v>
      </c>
      <c r="J62" s="30">
        <v>0.46388888888888891</v>
      </c>
    </row>
    <row r="63" spans="1:11" ht="25.2" x14ac:dyDescent="0.2">
      <c r="A63" s="22">
        <v>46162</v>
      </c>
      <c r="B63" s="22" t="s">
        <v>19</v>
      </c>
      <c r="C63" s="27" t="s">
        <v>125</v>
      </c>
      <c r="D63" s="27"/>
      <c r="E63" s="27" t="s">
        <v>33</v>
      </c>
      <c r="F63" s="27" t="s">
        <v>15</v>
      </c>
      <c r="G63" s="28" t="s">
        <v>259</v>
      </c>
      <c r="H63" s="29">
        <f t="shared" si="0"/>
        <v>6.3888888888888884E-2</v>
      </c>
      <c r="I63" s="30">
        <v>0.46388888888888891</v>
      </c>
      <c r="J63" s="30">
        <v>0.52777777777777779</v>
      </c>
    </row>
    <row r="64" spans="1:11" ht="25.2" x14ac:dyDescent="0.2">
      <c r="A64" s="22">
        <v>46162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259</v>
      </c>
      <c r="H64" s="29">
        <f t="shared" si="0"/>
        <v>2.083333333333337E-2</v>
      </c>
      <c r="I64" s="30">
        <v>0.5625</v>
      </c>
      <c r="J64" s="30">
        <v>0.58333333333333337</v>
      </c>
    </row>
    <row r="65" spans="1:10" ht="37.799999999999997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267</v>
      </c>
      <c r="H65" s="29">
        <f t="shared" si="0"/>
        <v>6.8055555555555536E-2</v>
      </c>
      <c r="I65" s="30">
        <v>0.58333333333333337</v>
      </c>
      <c r="J65" s="30">
        <v>0.65138888888888891</v>
      </c>
    </row>
    <row r="66" spans="1:10" ht="25.2" x14ac:dyDescent="0.2">
      <c r="A66" s="22">
        <v>46162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265</v>
      </c>
      <c r="H66" s="29">
        <f t="shared" si="0"/>
        <v>2.1527777777777812E-2</v>
      </c>
      <c r="I66" s="30">
        <v>0.65138888888888891</v>
      </c>
      <c r="J66" s="30">
        <v>0.67291666666666672</v>
      </c>
    </row>
    <row r="67" spans="1:10" ht="25.2" x14ac:dyDescent="0.2">
      <c r="A67" s="22">
        <v>46162</v>
      </c>
      <c r="B67" s="22" t="s">
        <v>19</v>
      </c>
      <c r="C67" s="27" t="s">
        <v>125</v>
      </c>
      <c r="D67" s="27"/>
      <c r="E67" s="27" t="s">
        <v>33</v>
      </c>
      <c r="F67" s="27" t="s">
        <v>15</v>
      </c>
      <c r="G67" s="28" t="s">
        <v>275</v>
      </c>
      <c r="H67" s="29">
        <f t="shared" si="0"/>
        <v>3.8888888888888862E-2</v>
      </c>
      <c r="I67" s="30">
        <v>0.67291666666666672</v>
      </c>
      <c r="J67" s="30">
        <v>0.71180555555555558</v>
      </c>
    </row>
    <row r="68" spans="1:10" ht="25.2" x14ac:dyDescent="0.2">
      <c r="A68" s="22">
        <v>46163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221</v>
      </c>
      <c r="H68" s="29">
        <f t="shared" si="0"/>
        <v>8.3333333333333592E-3</v>
      </c>
      <c r="I68" s="30">
        <v>0.33333333333333331</v>
      </c>
      <c r="J68" s="30">
        <v>0.34166666666666667</v>
      </c>
    </row>
    <row r="69" spans="1:10" ht="25.2" x14ac:dyDescent="0.2">
      <c r="A69" s="22">
        <v>46163</v>
      </c>
      <c r="B69" s="22" t="s">
        <v>20</v>
      </c>
      <c r="C69" s="27" t="s">
        <v>125</v>
      </c>
      <c r="D69" s="27"/>
      <c r="E69" s="27" t="s">
        <v>33</v>
      </c>
      <c r="F69" s="27" t="s">
        <v>15</v>
      </c>
      <c r="G69" s="28" t="s">
        <v>269</v>
      </c>
      <c r="H69" s="29">
        <f t="shared" si="0"/>
        <v>0.11666666666666664</v>
      </c>
      <c r="I69" s="30">
        <v>0.34166666666666667</v>
      </c>
      <c r="J69" s="30">
        <v>0.45833333333333331</v>
      </c>
    </row>
    <row r="70" spans="1:10" ht="50.4" x14ac:dyDescent="0.2">
      <c r="A70" s="22">
        <v>46163</v>
      </c>
      <c r="B70" s="22" t="s">
        <v>20</v>
      </c>
      <c r="C70" s="27" t="s">
        <v>125</v>
      </c>
      <c r="D70" s="27"/>
      <c r="E70" s="27" t="s">
        <v>62</v>
      </c>
      <c r="F70" s="27" t="s">
        <v>15</v>
      </c>
      <c r="G70" s="28" t="s">
        <v>270</v>
      </c>
      <c r="H70" s="29">
        <f t="shared" si="0"/>
        <v>1.1805555555555569E-2</v>
      </c>
      <c r="I70" s="30">
        <v>0.45833333333333331</v>
      </c>
      <c r="J70" s="30">
        <v>0.47013888888888888</v>
      </c>
    </row>
    <row r="71" spans="1:10" ht="37.799999999999997" x14ac:dyDescent="0.2">
      <c r="A71" s="22">
        <v>46163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271</v>
      </c>
      <c r="H71" s="29">
        <f t="shared" si="0"/>
        <v>5.1388888888888928E-2</v>
      </c>
      <c r="I71" s="30">
        <v>0.47013888888888888</v>
      </c>
      <c r="J71" s="30">
        <v>0.52152777777777781</v>
      </c>
    </row>
    <row r="72" spans="1:10" ht="37.799999999999997" x14ac:dyDescent="0.2">
      <c r="A72" s="22">
        <v>46163</v>
      </c>
      <c r="B72" s="22" t="s">
        <v>20</v>
      </c>
      <c r="C72" s="27" t="s">
        <v>125</v>
      </c>
      <c r="D72" s="27"/>
      <c r="E72" s="27" t="s">
        <v>33</v>
      </c>
      <c r="F72" s="27"/>
      <c r="G72" s="28" t="s">
        <v>271</v>
      </c>
      <c r="H72" s="29">
        <f t="shared" si="0"/>
        <v>0.10416666666666663</v>
      </c>
      <c r="I72" s="30">
        <v>0.5625</v>
      </c>
      <c r="J72" s="30">
        <v>0.66666666666666663</v>
      </c>
    </row>
    <row r="73" spans="1:10" ht="37.799999999999997" x14ac:dyDescent="0.2">
      <c r="A73" s="22">
        <v>46163</v>
      </c>
      <c r="B73" s="22" t="s">
        <v>20</v>
      </c>
      <c r="C73" s="27" t="s">
        <v>125</v>
      </c>
      <c r="D73" s="27"/>
      <c r="E73" s="27" t="s">
        <v>62</v>
      </c>
      <c r="F73" s="27" t="s">
        <v>15</v>
      </c>
      <c r="G73" s="28" t="s">
        <v>268</v>
      </c>
      <c r="H73" s="29">
        <f t="shared" si="0"/>
        <v>4.9305555555555602E-2</v>
      </c>
      <c r="I73" s="30">
        <v>0.66666666666666663</v>
      </c>
      <c r="J73" s="30">
        <v>0.71597222222222223</v>
      </c>
    </row>
    <row r="74" spans="1:10" ht="25.2" x14ac:dyDescent="0.2">
      <c r="A74" s="22">
        <v>46164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221</v>
      </c>
      <c r="H74" s="29">
        <f t="shared" si="0"/>
        <v>1.5972222222222221E-2</v>
      </c>
      <c r="I74" s="30">
        <v>0.33333333333333331</v>
      </c>
      <c r="J74" s="30">
        <v>0.34930555555555554</v>
      </c>
    </row>
    <row r="75" spans="1:10" ht="37.799999999999997" x14ac:dyDescent="0.2">
      <c r="A75" s="22">
        <v>46164</v>
      </c>
      <c r="B75" s="22" t="s">
        <v>11</v>
      </c>
      <c r="C75" s="27" t="s">
        <v>125</v>
      </c>
      <c r="D75" s="27"/>
      <c r="E75" s="27" t="s">
        <v>33</v>
      </c>
      <c r="F75" s="27" t="s">
        <v>15</v>
      </c>
      <c r="G75" s="28" t="s">
        <v>271</v>
      </c>
      <c r="H75" s="29">
        <f t="shared" si="0"/>
        <v>0.10902777777777778</v>
      </c>
      <c r="I75" s="30">
        <v>0.34930555555555554</v>
      </c>
      <c r="J75" s="30">
        <v>0.45833333333333331</v>
      </c>
    </row>
    <row r="76" spans="1:10" ht="50.4" x14ac:dyDescent="0.2">
      <c r="A76" s="22">
        <v>46164</v>
      </c>
      <c r="B76" s="22" t="s">
        <v>11</v>
      </c>
      <c r="C76" s="27" t="s">
        <v>125</v>
      </c>
      <c r="D76" s="27"/>
      <c r="E76" s="27" t="s">
        <v>62</v>
      </c>
      <c r="F76" s="27" t="s">
        <v>15</v>
      </c>
      <c r="G76" s="28" t="s">
        <v>270</v>
      </c>
      <c r="H76" s="29">
        <f t="shared" si="0"/>
        <v>2.2222222222222254E-2</v>
      </c>
      <c r="I76" s="30">
        <v>0.45833333333333331</v>
      </c>
      <c r="J76" s="30">
        <v>0.48055555555555557</v>
      </c>
    </row>
    <row r="77" spans="1:10" ht="37.799999999999997" x14ac:dyDescent="0.2">
      <c r="A77" s="22">
        <v>46164</v>
      </c>
      <c r="B77" s="22" t="s">
        <v>11</v>
      </c>
      <c r="C77" s="27" t="s">
        <v>125</v>
      </c>
      <c r="D77" s="27"/>
      <c r="E77" s="27" t="s">
        <v>33</v>
      </c>
      <c r="F77" s="27" t="s">
        <v>15</v>
      </c>
      <c r="G77" s="28" t="s">
        <v>272</v>
      </c>
      <c r="H77" s="29">
        <f t="shared" si="0"/>
        <v>1.9444444444444431E-2</v>
      </c>
      <c r="I77" s="30">
        <v>0.48055555555555557</v>
      </c>
      <c r="J77" s="30">
        <v>0.5</v>
      </c>
    </row>
    <row r="78" spans="1:10" ht="25.2" x14ac:dyDescent="0.2">
      <c r="A78" s="22">
        <v>46164</v>
      </c>
      <c r="B78" s="22" t="s">
        <v>11</v>
      </c>
      <c r="C78" s="27" t="s">
        <v>125</v>
      </c>
      <c r="D78" s="27"/>
      <c r="E78" s="27" t="s">
        <v>33</v>
      </c>
      <c r="F78" s="27" t="s">
        <v>15</v>
      </c>
      <c r="G78" s="28" t="s">
        <v>273</v>
      </c>
      <c r="H78" s="29">
        <f t="shared" si="0"/>
        <v>0.125</v>
      </c>
      <c r="I78" s="30">
        <v>0.54166666666666663</v>
      </c>
      <c r="J78" s="30">
        <v>0.66666666666666663</v>
      </c>
    </row>
    <row r="79" spans="1:10" ht="25.2" x14ac:dyDescent="0.2">
      <c r="A79" s="22">
        <v>46164</v>
      </c>
      <c r="B79" s="22" t="s">
        <v>11</v>
      </c>
      <c r="C79" s="27" t="s">
        <v>125</v>
      </c>
      <c r="D79" s="27"/>
      <c r="E79" s="27" t="s">
        <v>62</v>
      </c>
      <c r="F79" s="27" t="s">
        <v>15</v>
      </c>
      <c r="G79" s="28" t="s">
        <v>274</v>
      </c>
      <c r="H79" s="29">
        <f t="shared" si="0"/>
        <v>4.1666666666666741E-2</v>
      </c>
      <c r="I79" s="30">
        <v>0.66666666666666663</v>
      </c>
      <c r="J79" s="30">
        <v>0.70833333333333337</v>
      </c>
    </row>
    <row r="80" spans="1:10" x14ac:dyDescent="0.2">
      <c r="A80" s="31">
        <v>46165</v>
      </c>
      <c r="B80" s="31" t="s">
        <v>14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1" x14ac:dyDescent="0.2">
      <c r="A81" s="31">
        <v>46166</v>
      </c>
      <c r="B81" s="31" t="s">
        <v>16</v>
      </c>
      <c r="C81" s="32"/>
      <c r="D81" s="32"/>
      <c r="E81" s="32"/>
      <c r="F81" s="32"/>
      <c r="G81" s="33"/>
      <c r="H81" s="34">
        <f t="shared" si="0"/>
        <v>0</v>
      </c>
      <c r="I81" s="35"/>
      <c r="J81" s="35"/>
    </row>
    <row r="82" spans="1:11" ht="25.2" x14ac:dyDescent="0.2">
      <c r="A82" s="22">
        <v>46167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221</v>
      </c>
      <c r="H82" s="29">
        <f t="shared" si="0"/>
        <v>1.6666666666666663E-2</v>
      </c>
      <c r="I82" s="30">
        <v>0.33333333333333331</v>
      </c>
      <c r="J82" s="30">
        <v>0.35</v>
      </c>
    </row>
    <row r="83" spans="1:11" ht="37.799999999999997" x14ac:dyDescent="0.2">
      <c r="A83" s="22">
        <v>46167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276</v>
      </c>
      <c r="H83" s="29">
        <f t="shared" si="0"/>
        <v>0.10833333333333334</v>
      </c>
      <c r="I83" s="30">
        <v>0.35</v>
      </c>
      <c r="J83" s="30">
        <v>0.45833333333333331</v>
      </c>
    </row>
    <row r="84" spans="1:11" ht="25.2" x14ac:dyDescent="0.2">
      <c r="A84" s="22">
        <v>46167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244</v>
      </c>
      <c r="H84" s="29">
        <f t="shared" si="0"/>
        <v>2.8472222222222232E-2</v>
      </c>
      <c r="I84" s="30">
        <v>0.45833333333333331</v>
      </c>
      <c r="J84" s="30">
        <v>0.48680555555555555</v>
      </c>
    </row>
    <row r="85" spans="1:11" ht="37.799999999999997" x14ac:dyDescent="0.2">
      <c r="A85" s="22">
        <v>46167</v>
      </c>
      <c r="B85" s="22" t="s">
        <v>17</v>
      </c>
      <c r="C85" s="27" t="s">
        <v>125</v>
      </c>
      <c r="D85" s="27"/>
      <c r="E85" s="27" t="s">
        <v>33</v>
      </c>
      <c r="F85" s="27" t="s">
        <v>15</v>
      </c>
      <c r="G85" s="126" t="s">
        <v>278</v>
      </c>
      <c r="H85" s="29">
        <f t="shared" si="0"/>
        <v>9.6527777777777823E-2</v>
      </c>
      <c r="I85" s="30">
        <v>0.48680555555555555</v>
      </c>
      <c r="J85" s="30">
        <v>0.58333333333333337</v>
      </c>
      <c r="K85" s="64"/>
    </row>
    <row r="86" spans="1:11" ht="25.2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126" t="s">
        <v>279</v>
      </c>
      <c r="H86" s="29">
        <f t="shared" si="0"/>
        <v>7.7083333333333282E-2</v>
      </c>
      <c r="I86" s="30">
        <v>0.58333333333333337</v>
      </c>
      <c r="J86" s="30">
        <v>0.66041666666666665</v>
      </c>
    </row>
    <row r="87" spans="1:11" ht="37.799999999999997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280</v>
      </c>
      <c r="H87" s="29">
        <f t="shared" si="0"/>
        <v>4.6527777777777835E-2</v>
      </c>
      <c r="I87" s="30">
        <v>0.66666666666666663</v>
      </c>
      <c r="J87" s="30">
        <v>0.71319444444444446</v>
      </c>
      <c r="K87" s="64"/>
    </row>
    <row r="88" spans="1:11" ht="25.2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221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1" ht="37.799999999999997" x14ac:dyDescent="0.2">
      <c r="A89" s="22">
        <v>46168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278</v>
      </c>
      <c r="H89" s="29">
        <f t="shared" si="0"/>
        <v>0.11666666666666664</v>
      </c>
      <c r="I89" s="30">
        <v>0.34166666666666667</v>
      </c>
      <c r="J89" s="30">
        <v>0.45833333333333331</v>
      </c>
      <c r="K89" s="64"/>
    </row>
    <row r="90" spans="1:11" ht="50.4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277</v>
      </c>
      <c r="H90" s="29">
        <f t="shared" si="0"/>
        <v>3.5416666666666707E-2</v>
      </c>
      <c r="I90" s="30">
        <v>0.45833333333333331</v>
      </c>
      <c r="J90" s="30">
        <v>0.49375000000000002</v>
      </c>
      <c r="K90" s="64"/>
    </row>
    <row r="91" spans="1:11" ht="37.799999999999997" x14ac:dyDescent="0.2">
      <c r="A91" s="22">
        <v>46168</v>
      </c>
      <c r="B91" s="22" t="s">
        <v>18</v>
      </c>
      <c r="C91" s="27" t="s">
        <v>125</v>
      </c>
      <c r="D91" s="27"/>
      <c r="E91" s="27" t="s">
        <v>33</v>
      </c>
      <c r="F91" s="27" t="s">
        <v>15</v>
      </c>
      <c r="G91" s="28" t="s">
        <v>278</v>
      </c>
      <c r="H91" s="29">
        <f t="shared" si="0"/>
        <v>6.25E-2</v>
      </c>
      <c r="I91" s="30">
        <v>0.54166666666666663</v>
      </c>
      <c r="J91" s="30">
        <v>0.60416666666666663</v>
      </c>
    </row>
    <row r="92" spans="1:11" ht="25.2" x14ac:dyDescent="0.2">
      <c r="A92" s="22">
        <v>46168</v>
      </c>
      <c r="B92" s="22" t="s">
        <v>18</v>
      </c>
      <c r="C92" s="27" t="s">
        <v>125</v>
      </c>
      <c r="D92" s="27"/>
      <c r="E92" s="27" t="s">
        <v>62</v>
      </c>
      <c r="F92" s="27" t="s">
        <v>15</v>
      </c>
      <c r="G92" s="28" t="s">
        <v>279</v>
      </c>
      <c r="H92" s="29">
        <f t="shared" si="0"/>
        <v>6.25E-2</v>
      </c>
      <c r="I92" s="30">
        <v>0.60416666666666663</v>
      </c>
      <c r="J92" s="30">
        <v>0.66666666666666663</v>
      </c>
    </row>
    <row r="93" spans="1:11" ht="37.799999999999997" x14ac:dyDescent="0.2">
      <c r="A93" s="22">
        <v>46168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280</v>
      </c>
      <c r="H93" s="29">
        <f t="shared" si="0"/>
        <v>4.5138888888888951E-2</v>
      </c>
      <c r="I93" s="30">
        <v>0.66666666666666663</v>
      </c>
      <c r="J93" s="30">
        <v>0.71180555555555558</v>
      </c>
      <c r="K93" s="64"/>
    </row>
    <row r="94" spans="1:11" ht="25.2" x14ac:dyDescent="0.2">
      <c r="A94" s="22">
        <v>46169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221</v>
      </c>
      <c r="H94" s="29">
        <f t="shared" si="0"/>
        <v>6.9444444444444753E-3</v>
      </c>
      <c r="I94" s="30">
        <v>0.33333333333333331</v>
      </c>
      <c r="J94" s="30">
        <v>0.34027777777777779</v>
      </c>
    </row>
    <row r="95" spans="1:11" ht="37.799999999999997" x14ac:dyDescent="0.2">
      <c r="A95" s="22">
        <v>46169</v>
      </c>
      <c r="B95" s="22" t="s">
        <v>19</v>
      </c>
      <c r="C95" s="27" t="s">
        <v>125</v>
      </c>
      <c r="D95" s="27"/>
      <c r="E95" s="27" t="s">
        <v>33</v>
      </c>
      <c r="F95" s="27" t="s">
        <v>15</v>
      </c>
      <c r="G95" s="28" t="s">
        <v>278</v>
      </c>
      <c r="H95" s="29">
        <f t="shared" si="0"/>
        <v>0.11805555555555552</v>
      </c>
      <c r="I95" s="30">
        <v>0.34027777777777779</v>
      </c>
      <c r="J95" s="30">
        <v>0.45833333333333331</v>
      </c>
      <c r="K95" s="64"/>
    </row>
    <row r="96" spans="1:11" ht="50.4" x14ac:dyDescent="0.2">
      <c r="A96" s="22">
        <v>46169</v>
      </c>
      <c r="B96" s="22" t="s">
        <v>19</v>
      </c>
      <c r="C96" s="27" t="s">
        <v>125</v>
      </c>
      <c r="D96" s="27"/>
      <c r="E96" s="27" t="s">
        <v>62</v>
      </c>
      <c r="F96" s="27" t="s">
        <v>15</v>
      </c>
      <c r="G96" s="28" t="s">
        <v>277</v>
      </c>
      <c r="H96" s="29">
        <f t="shared" si="0"/>
        <v>1.5972222222222221E-2</v>
      </c>
      <c r="I96" s="30">
        <v>0.45833333333333331</v>
      </c>
      <c r="J96" s="30">
        <v>0.47430555555555554</v>
      </c>
    </row>
    <row r="97" spans="1:10" ht="37.799999999999997" x14ac:dyDescent="0.2">
      <c r="A97" s="22">
        <v>46169</v>
      </c>
      <c r="B97" s="22" t="s">
        <v>19</v>
      </c>
      <c r="C97" s="27" t="s">
        <v>125</v>
      </c>
      <c r="D97" s="27"/>
      <c r="E97" s="27" t="s">
        <v>33</v>
      </c>
      <c r="F97" s="27" t="s">
        <v>15</v>
      </c>
      <c r="G97" s="28" t="s">
        <v>278</v>
      </c>
      <c r="H97" s="29">
        <f t="shared" si="0"/>
        <v>2.5694444444444464E-2</v>
      </c>
      <c r="I97" s="30">
        <v>0.47430555555555554</v>
      </c>
      <c r="J97" s="30">
        <v>0.5</v>
      </c>
    </row>
    <row r="98" spans="1:10" ht="37.799999999999997" x14ac:dyDescent="0.2">
      <c r="A98" s="22">
        <v>46169</v>
      </c>
      <c r="B98" s="22" t="s">
        <v>19</v>
      </c>
      <c r="C98" s="27" t="s">
        <v>125</v>
      </c>
      <c r="D98" s="27"/>
      <c r="E98" s="27" t="s">
        <v>33</v>
      </c>
      <c r="F98" s="27" t="s">
        <v>15</v>
      </c>
      <c r="G98" s="28" t="s">
        <v>278</v>
      </c>
      <c r="H98" s="29">
        <f t="shared" si="0"/>
        <v>4.1666666666666741E-2</v>
      </c>
      <c r="I98" s="30">
        <v>0.54166666666666663</v>
      </c>
      <c r="J98" s="30">
        <v>0.58333333333333337</v>
      </c>
    </row>
    <row r="99" spans="1:10" ht="25.2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279</v>
      </c>
      <c r="H99" s="29">
        <f t="shared" si="0"/>
        <v>7.9861111111111049E-2</v>
      </c>
      <c r="I99" s="30">
        <v>0.58333333333333337</v>
      </c>
      <c r="J99" s="30">
        <v>0.66319444444444442</v>
      </c>
    </row>
    <row r="100" spans="1:10" x14ac:dyDescent="0.2">
      <c r="A100" s="22">
        <v>46169</v>
      </c>
      <c r="B100" s="22" t="s">
        <v>19</v>
      </c>
      <c r="C100" s="27" t="s">
        <v>125</v>
      </c>
      <c r="D100" s="27"/>
      <c r="E100" s="27" t="s">
        <v>62</v>
      </c>
      <c r="F100" s="27" t="s">
        <v>15</v>
      </c>
      <c r="G100" s="28" t="s">
        <v>281</v>
      </c>
      <c r="H100" s="29">
        <f t="shared" si="0"/>
        <v>6.597222222222221E-2</v>
      </c>
      <c r="I100" s="30">
        <v>0.66319444444444442</v>
      </c>
      <c r="J100" s="30">
        <v>0.72916666666666663</v>
      </c>
    </row>
    <row r="101" spans="1:10" ht="25.2" x14ac:dyDescent="0.2">
      <c r="A101" s="22">
        <v>46169</v>
      </c>
      <c r="B101" s="22" t="s">
        <v>19</v>
      </c>
      <c r="C101" s="27" t="s">
        <v>125</v>
      </c>
      <c r="D101" s="27"/>
      <c r="E101" s="27" t="s">
        <v>62</v>
      </c>
      <c r="F101" s="27" t="s">
        <v>15</v>
      </c>
      <c r="G101" s="125" t="s">
        <v>274</v>
      </c>
      <c r="H101" s="29">
        <f t="shared" si="0"/>
        <v>2.1527777777777812E-2</v>
      </c>
      <c r="I101" s="30">
        <v>0.72916666666666663</v>
      </c>
      <c r="J101" s="30">
        <v>0.75069444444444444</v>
      </c>
    </row>
    <row r="102" spans="1:10" ht="25.2" x14ac:dyDescent="0.2">
      <c r="A102" s="22">
        <v>46170</v>
      </c>
      <c r="B102" s="22" t="s">
        <v>20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0"/>
        <v>1.3888888888888895E-2</v>
      </c>
      <c r="I102" s="30">
        <v>0.33333333333333331</v>
      </c>
      <c r="J102" s="30">
        <v>0.34722222222222221</v>
      </c>
    </row>
    <row r="103" spans="1:10" ht="37.799999999999997" x14ac:dyDescent="0.2">
      <c r="A103" s="22">
        <v>46170</v>
      </c>
      <c r="B103" s="22" t="s">
        <v>20</v>
      </c>
      <c r="C103" s="27" t="s">
        <v>125</v>
      </c>
      <c r="D103" s="27"/>
      <c r="E103" s="27" t="s">
        <v>33</v>
      </c>
      <c r="F103" s="27" t="s">
        <v>15</v>
      </c>
      <c r="G103" s="28" t="s">
        <v>278</v>
      </c>
      <c r="H103" s="29">
        <f t="shared" si="0"/>
        <v>2.8472222222222232E-2</v>
      </c>
      <c r="I103" s="30">
        <v>0.34722222222222221</v>
      </c>
      <c r="J103" s="30">
        <v>0.37569444444444444</v>
      </c>
    </row>
    <row r="104" spans="1:10" ht="37.799999999999997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282</v>
      </c>
      <c r="H104" s="29">
        <f t="shared" si="0"/>
        <v>6.3194444444444442E-2</v>
      </c>
      <c r="I104" s="30">
        <v>0.37569444444444444</v>
      </c>
      <c r="J104" s="30">
        <v>0.43888888888888888</v>
      </c>
    </row>
    <row r="105" spans="1:10" ht="37.799999999999997" x14ac:dyDescent="0.2">
      <c r="A105" s="22">
        <v>46170</v>
      </c>
      <c r="B105" s="22" t="s">
        <v>20</v>
      </c>
      <c r="C105" s="27" t="s">
        <v>125</v>
      </c>
      <c r="D105" s="27"/>
      <c r="E105" s="27" t="s">
        <v>33</v>
      </c>
      <c r="F105" s="27" t="s">
        <v>15</v>
      </c>
      <c r="G105" s="28" t="s">
        <v>278</v>
      </c>
      <c r="H105" s="29">
        <f t="shared" si="0"/>
        <v>1.9444444444444431E-2</v>
      </c>
      <c r="I105" s="30">
        <v>0.43888888888888888</v>
      </c>
      <c r="J105" s="30">
        <v>0.45833333333333331</v>
      </c>
    </row>
    <row r="106" spans="1:10" ht="50.4" x14ac:dyDescent="0.2">
      <c r="A106" s="22">
        <v>46170</v>
      </c>
      <c r="B106" s="22" t="s">
        <v>20</v>
      </c>
      <c r="C106" s="27" t="s">
        <v>125</v>
      </c>
      <c r="D106" s="27"/>
      <c r="E106" s="27" t="s">
        <v>62</v>
      </c>
      <c r="F106" s="27" t="s">
        <v>15</v>
      </c>
      <c r="G106" s="28" t="s">
        <v>277</v>
      </c>
      <c r="H106" s="29">
        <f t="shared" si="0"/>
        <v>1.9444444444444486E-2</v>
      </c>
      <c r="I106" s="30">
        <v>0.45833333333333331</v>
      </c>
      <c r="J106" s="30">
        <v>0.4777777777777778</v>
      </c>
    </row>
    <row r="107" spans="1:10" ht="37.799999999999997" x14ac:dyDescent="0.2">
      <c r="A107" s="22">
        <v>46170</v>
      </c>
      <c r="B107" s="22" t="s">
        <v>20</v>
      </c>
      <c r="C107" s="27" t="s">
        <v>125</v>
      </c>
      <c r="D107" s="27"/>
      <c r="E107" s="27" t="s">
        <v>33</v>
      </c>
      <c r="F107" s="27" t="s">
        <v>15</v>
      </c>
      <c r="G107" s="28" t="s">
        <v>278</v>
      </c>
      <c r="H107" s="29">
        <f t="shared" si="0"/>
        <v>2.2222222222222199E-2</v>
      </c>
      <c r="I107" s="30">
        <v>0.4777777777777778</v>
      </c>
      <c r="J107" s="30">
        <v>0.5</v>
      </c>
    </row>
    <row r="108" spans="1:10" ht="37.799999999999997" x14ac:dyDescent="0.2">
      <c r="A108" s="22">
        <v>46170</v>
      </c>
      <c r="B108" s="22" t="s">
        <v>20</v>
      </c>
      <c r="C108" s="27" t="s">
        <v>125</v>
      </c>
      <c r="D108" s="27"/>
      <c r="E108" s="27" t="s">
        <v>33</v>
      </c>
      <c r="F108" s="27" t="s">
        <v>15</v>
      </c>
      <c r="G108" s="28" t="s">
        <v>278</v>
      </c>
      <c r="H108" s="29">
        <f t="shared" si="0"/>
        <v>8.333333333333337E-2</v>
      </c>
      <c r="I108" s="30">
        <v>0.54166666666666663</v>
      </c>
      <c r="J108" s="30">
        <v>0.625</v>
      </c>
    </row>
    <row r="109" spans="1:10" ht="37.799999999999997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282</v>
      </c>
      <c r="H109" s="29">
        <f t="shared" si="0"/>
        <v>3.9583333333333304E-2</v>
      </c>
      <c r="I109" s="30">
        <v>0.625</v>
      </c>
      <c r="J109" s="30">
        <v>0.6645833333333333</v>
      </c>
    </row>
    <row r="110" spans="1:10" ht="25.2" x14ac:dyDescent="0.2">
      <c r="A110" s="22">
        <v>46170</v>
      </c>
      <c r="B110" s="22" t="s">
        <v>20</v>
      </c>
      <c r="C110" s="27" t="s">
        <v>125</v>
      </c>
      <c r="D110" s="27"/>
      <c r="E110" s="27" t="s">
        <v>62</v>
      </c>
      <c r="F110" s="27" t="s">
        <v>15</v>
      </c>
      <c r="G110" s="28" t="s">
        <v>274</v>
      </c>
      <c r="H110" s="29">
        <f t="shared" si="0"/>
        <v>4.0277777777777857E-2</v>
      </c>
      <c r="I110" s="30">
        <v>0.66666666666666663</v>
      </c>
      <c r="J110" s="30">
        <v>0.70694444444444449</v>
      </c>
    </row>
    <row r="111" spans="1:10" x14ac:dyDescent="0.2">
      <c r="A111" s="22">
        <v>46170</v>
      </c>
      <c r="B111" s="22" t="s">
        <v>20</v>
      </c>
      <c r="C111" s="27" t="s">
        <v>125</v>
      </c>
      <c r="D111" s="27"/>
      <c r="E111" s="27" t="s">
        <v>33</v>
      </c>
      <c r="F111" s="27" t="s">
        <v>15</v>
      </c>
      <c r="G111" s="28" t="s">
        <v>283</v>
      </c>
      <c r="H111" s="29">
        <f t="shared" si="0"/>
        <v>2.0138888888888817E-2</v>
      </c>
      <c r="I111" s="30">
        <v>0.70694444444444449</v>
      </c>
      <c r="J111" s="30">
        <v>0.7270833333333333</v>
      </c>
    </row>
    <row r="112" spans="1:10" ht="25.2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221</v>
      </c>
      <c r="H112" s="29">
        <f t="shared" si="0"/>
        <v>2.7777777777778234E-3</v>
      </c>
      <c r="I112" s="30">
        <v>0.33333333333333331</v>
      </c>
      <c r="J112" s="30">
        <v>0.33611111111111114</v>
      </c>
    </row>
    <row r="113" spans="1:10" ht="37.799999999999997" x14ac:dyDescent="0.2">
      <c r="A113" s="22">
        <v>46171</v>
      </c>
      <c r="B113" s="22" t="s">
        <v>11</v>
      </c>
      <c r="C113" s="27" t="s">
        <v>125</v>
      </c>
      <c r="D113" s="27"/>
      <c r="E113" s="27" t="s">
        <v>33</v>
      </c>
      <c r="F113" s="27" t="s">
        <v>15</v>
      </c>
      <c r="G113" s="28" t="s">
        <v>278</v>
      </c>
      <c r="H113" s="29">
        <f t="shared" si="0"/>
        <v>0.12222222222222218</v>
      </c>
      <c r="I113" s="30">
        <v>0.33611111111111114</v>
      </c>
      <c r="J113" s="30">
        <v>0.45833333333333331</v>
      </c>
    </row>
    <row r="114" spans="1:10" ht="50.4" x14ac:dyDescent="0.2">
      <c r="A114" s="22">
        <v>46171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277</v>
      </c>
      <c r="H114" s="29">
        <f t="shared" si="0"/>
        <v>2.083333333333337E-2</v>
      </c>
      <c r="I114" s="30">
        <v>0.45833333333333331</v>
      </c>
      <c r="J114" s="30">
        <v>0.47916666666666669</v>
      </c>
    </row>
    <row r="115" spans="1:10" ht="37.799999999999997" x14ac:dyDescent="0.2">
      <c r="A115" s="22">
        <v>46171</v>
      </c>
      <c r="B115" s="22" t="s">
        <v>11</v>
      </c>
      <c r="C115" s="27" t="s">
        <v>125</v>
      </c>
      <c r="D115" s="27"/>
      <c r="E115" s="27" t="s">
        <v>33</v>
      </c>
      <c r="F115" s="27" t="s">
        <v>15</v>
      </c>
      <c r="G115" s="28" t="s">
        <v>278</v>
      </c>
      <c r="H115" s="29">
        <f t="shared" si="0"/>
        <v>4.1666666666666685E-2</v>
      </c>
      <c r="I115" s="30">
        <v>0.47916666666666669</v>
      </c>
      <c r="J115" s="30">
        <v>0.52083333333333337</v>
      </c>
    </row>
    <row r="116" spans="1:10" ht="37.799999999999997" x14ac:dyDescent="0.2">
      <c r="A116" s="22">
        <v>46171</v>
      </c>
      <c r="B116" s="22" t="s">
        <v>11</v>
      </c>
      <c r="C116" s="27" t="s">
        <v>125</v>
      </c>
      <c r="D116" s="27"/>
      <c r="E116" s="27" t="s">
        <v>33</v>
      </c>
      <c r="F116" s="27" t="s">
        <v>15</v>
      </c>
      <c r="G116" s="28" t="s">
        <v>278</v>
      </c>
      <c r="H116" s="29">
        <f t="shared" si="0"/>
        <v>0.10416666666666663</v>
      </c>
      <c r="I116" s="30">
        <v>0.5625</v>
      </c>
      <c r="J116" s="30">
        <v>0.66666666666666663</v>
      </c>
    </row>
    <row r="117" spans="1:10" ht="25.2" x14ac:dyDescent="0.2">
      <c r="A117" s="22">
        <v>46171</v>
      </c>
      <c r="B117" s="22" t="s">
        <v>11</v>
      </c>
      <c r="C117" s="27" t="s">
        <v>125</v>
      </c>
      <c r="D117" s="27"/>
      <c r="E117" s="27" t="s">
        <v>62</v>
      </c>
      <c r="F117" s="27" t="s">
        <v>15</v>
      </c>
      <c r="G117" s="28" t="s">
        <v>274</v>
      </c>
      <c r="H117" s="29">
        <f t="shared" si="0"/>
        <v>6.25E-2</v>
      </c>
      <c r="I117" s="30">
        <v>0.66666666666666663</v>
      </c>
      <c r="J117" s="30">
        <v>0.72916666666666663</v>
      </c>
    </row>
    <row r="118" spans="1:10" x14ac:dyDescent="0.2">
      <c r="A118" s="31">
        <v>46172</v>
      </c>
      <c r="B118" s="31" t="s">
        <v>14</v>
      </c>
      <c r="C118" s="32"/>
      <c r="D118" s="32"/>
      <c r="E118" s="32"/>
      <c r="F118" s="32"/>
      <c r="G118" s="33"/>
      <c r="H118" s="34">
        <f t="shared" si="0"/>
        <v>0</v>
      </c>
      <c r="I118" s="35"/>
      <c r="J118" s="35"/>
    </row>
    <row r="119" spans="1:10" ht="13.95" customHeight="1" x14ac:dyDescent="0.25">
      <c r="A119" s="31">
        <v>46173</v>
      </c>
      <c r="B119" s="31" t="s">
        <v>16</v>
      </c>
      <c r="C119" s="32"/>
      <c r="D119" s="97"/>
      <c r="E119" s="97"/>
      <c r="F119" s="32"/>
      <c r="G119" s="97"/>
      <c r="H119" s="34">
        <f t="shared" si="0"/>
        <v>0</v>
      </c>
      <c r="I119" s="98"/>
      <c r="J119" s="32"/>
    </row>
    <row r="120" spans="1:10" ht="13.95" customHeight="1" thickBot="1" x14ac:dyDescent="0.3">
      <c r="A120" s="46"/>
      <c r="B120" s="45"/>
      <c r="C120" s="45"/>
      <c r="D120" s="45"/>
      <c r="E120" s="45"/>
      <c r="F120" s="45"/>
      <c r="G120" s="45"/>
      <c r="H120" s="36"/>
      <c r="I120" s="37"/>
    </row>
    <row r="121" spans="1:10" ht="13.95" customHeight="1" x14ac:dyDescent="0.25">
      <c r="A121" s="4"/>
      <c r="B121" s="4"/>
      <c r="C121" s="5"/>
      <c r="D121" s="6"/>
      <c r="E121" s="7" t="s">
        <v>21</v>
      </c>
      <c r="F121" s="8">
        <v>160</v>
      </c>
      <c r="H121" s="40"/>
    </row>
    <row r="122" spans="1:10" ht="13.95" customHeight="1" thickBot="1" x14ac:dyDescent="0.3">
      <c r="A122" s="4"/>
      <c r="B122" s="4"/>
      <c r="C122" s="9"/>
      <c r="D122" s="2"/>
      <c r="E122" s="10" t="s">
        <v>22</v>
      </c>
      <c r="F122" s="11">
        <v>20</v>
      </c>
      <c r="H122" s="40"/>
    </row>
    <row r="123" spans="1:10" ht="13.95" customHeight="1" thickBot="1" x14ac:dyDescent="0.3">
      <c r="A123" s="127" t="s">
        <v>23</v>
      </c>
      <c r="B123" s="127"/>
      <c r="C123" s="127"/>
      <c r="D123" s="12"/>
      <c r="E123" s="2"/>
      <c r="F123" s="2"/>
      <c r="H123" s="40"/>
    </row>
    <row r="124" spans="1:10" ht="13.8" x14ac:dyDescent="0.25">
      <c r="A124" s="13"/>
      <c r="B124" s="13"/>
      <c r="C124" s="6"/>
      <c r="D124" s="6"/>
      <c r="E124" s="14" t="s">
        <v>24</v>
      </c>
      <c r="F124" s="15">
        <f>SUMIF(F9:F119,"Billable",H9:H119)</f>
        <v>0</v>
      </c>
      <c r="H124" s="38"/>
    </row>
    <row r="125" spans="1:10" ht="15" customHeight="1" thickBot="1" x14ac:dyDescent="0.3">
      <c r="A125" s="128" t="s">
        <v>25</v>
      </c>
      <c r="B125" s="128"/>
      <c r="C125" s="128"/>
      <c r="D125" s="16"/>
      <c r="E125" s="17" t="s">
        <v>26</v>
      </c>
      <c r="F125" s="18">
        <f>SUMIF(F9:F119,"Non-Billable",H9:H119)</f>
        <v>6.4694444444444477</v>
      </c>
      <c r="H125" s="40"/>
    </row>
    <row r="126" spans="1:10" ht="14.4" thickBot="1" x14ac:dyDescent="0.3">
      <c r="A126" s="2"/>
      <c r="B126" s="2"/>
      <c r="C126" s="2"/>
      <c r="D126" s="2"/>
      <c r="E126" s="19" t="s">
        <v>27</v>
      </c>
      <c r="F126" s="44">
        <f>F124+F125</f>
        <v>6.4694444444444477</v>
      </c>
      <c r="H126" s="40"/>
    </row>
    <row r="127" spans="1:10" ht="13.8" thickBot="1" x14ac:dyDescent="0.3">
      <c r="A127" s="2"/>
      <c r="B127" s="2"/>
      <c r="C127" s="2"/>
      <c r="D127" s="2"/>
      <c r="E127" s="2"/>
      <c r="F127" s="2"/>
      <c r="H127" s="40"/>
    </row>
    <row r="128" spans="1:10" ht="13.8" thickBot="1" x14ac:dyDescent="0.3">
      <c r="A128" s="2"/>
      <c r="B128" s="2"/>
      <c r="C128" s="2"/>
      <c r="D128" s="2"/>
      <c r="E128" s="20" t="s">
        <v>28</v>
      </c>
      <c r="F128" s="21"/>
      <c r="H128" s="40"/>
    </row>
    <row r="129" spans="5:8" ht="13.2" thickBot="1" x14ac:dyDescent="0.25">
      <c r="E129" s="39"/>
      <c r="H129" s="40"/>
    </row>
  </sheetData>
  <mergeCells count="2">
    <mergeCell ref="A123:C123"/>
    <mergeCell ref="A125:C12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9:E121 D123:E125 E128">
    <cfRule type="containsText" dxfId="70" priority="1" operator="containsText" text="Religious Leave">
      <formula>NOT(ISERROR(SEARCH("Religious Leave",D119)))</formula>
    </cfRule>
    <cfRule type="containsText" dxfId="69" priority="2" operator="containsText" text="Birthday Leave">
      <formula>NOT(ISERROR(SEARCH("Birthday Leave",D119)))</formula>
    </cfRule>
    <cfRule type="containsText" dxfId="68" priority="3" operator="containsText" text="Study Leave">
      <formula>NOT(ISERROR(SEARCH("Study Leave",D119)))</formula>
    </cfRule>
    <cfRule type="containsText" dxfId="67" priority="4" operator="containsText" text="Family Responsibility Leave">
      <formula>NOT(ISERROR(SEARCH("Family Responsibility Leave",D119)))</formula>
    </cfRule>
    <cfRule type="containsText" dxfId="66" priority="5" operator="containsText" text="Sick Leave">
      <formula>NOT(ISERROR(SEARCH("Sick Leave",D119)))</formula>
    </cfRule>
    <cfRule type="containsText" dxfId="65" priority="6" operator="containsText" text="Annual Leave">
      <formula>NOT(ISERROR(SEARCH("Annual Leave",D119)))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E9:E118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L76"/>
  <sheetViews>
    <sheetView tabSelected="1" zoomScale="60" zoomScaleNormal="60" workbookViewId="0">
      <selection activeCell="M19" sqref="M1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2" x14ac:dyDescent="0.2">
      <c r="A5" s="37" t="s">
        <v>2</v>
      </c>
      <c r="B5" s="23" t="s">
        <v>207</v>
      </c>
      <c r="C5" s="37"/>
      <c r="H5" s="40"/>
    </row>
    <row r="6" spans="1:12" x14ac:dyDescent="0.2">
      <c r="A6" s="37" t="s">
        <v>93</v>
      </c>
      <c r="B6" s="72">
        <f>F71</f>
        <v>0</v>
      </c>
      <c r="C6" s="37"/>
      <c r="D6" s="37"/>
      <c r="E6" s="37"/>
      <c r="H6" s="40"/>
      <c r="J6" s="41"/>
    </row>
    <row r="7" spans="1:12" x14ac:dyDescent="0.2">
      <c r="H7" s="40"/>
    </row>
    <row r="8" spans="1:12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2" ht="25.2" x14ac:dyDescent="0.2">
      <c r="A9" s="22">
        <v>46174</v>
      </c>
      <c r="B9" s="22" t="s">
        <v>17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 t="shared" ref="H9:H15" si="0">J9-I9</f>
        <v>3.4722222222222654E-3</v>
      </c>
      <c r="I9" s="30">
        <v>0.33333333333333331</v>
      </c>
      <c r="J9" s="30">
        <v>0.33680555555555558</v>
      </c>
    </row>
    <row r="10" spans="1:12" ht="37.799999999999997" x14ac:dyDescent="0.2">
      <c r="A10" s="22">
        <v>46174</v>
      </c>
      <c r="B10" s="22" t="s">
        <v>17</v>
      </c>
      <c r="C10" s="27" t="s">
        <v>125</v>
      </c>
      <c r="D10" s="27"/>
      <c r="E10" s="27" t="s">
        <v>33</v>
      </c>
      <c r="F10" s="27" t="s">
        <v>15</v>
      </c>
      <c r="G10" s="28" t="s">
        <v>278</v>
      </c>
      <c r="H10" s="29">
        <f t="shared" si="0"/>
        <v>0.11805555555555552</v>
      </c>
      <c r="I10" s="30">
        <v>0.34027777777777779</v>
      </c>
      <c r="J10" s="30">
        <v>0.45833333333333331</v>
      </c>
    </row>
    <row r="11" spans="1:12" ht="50.4" x14ac:dyDescent="0.2">
      <c r="A11" s="22">
        <v>46174</v>
      </c>
      <c r="B11" s="22" t="s">
        <v>17</v>
      </c>
      <c r="C11" s="27" t="s">
        <v>125</v>
      </c>
      <c r="D11" s="27"/>
      <c r="E11" s="27" t="s">
        <v>62</v>
      </c>
      <c r="F11" s="27" t="s">
        <v>15</v>
      </c>
      <c r="G11" s="28" t="s">
        <v>277</v>
      </c>
      <c r="H11" s="29">
        <f t="shared" si="0"/>
        <v>2.2916666666666696E-2</v>
      </c>
      <c r="I11" s="30">
        <v>0.45833333333333331</v>
      </c>
      <c r="J11" s="30">
        <v>0.48125000000000001</v>
      </c>
    </row>
    <row r="12" spans="1:12" ht="37.799999999999997" x14ac:dyDescent="0.2">
      <c r="A12" s="22">
        <v>46174</v>
      </c>
      <c r="B12" s="22" t="s">
        <v>17</v>
      </c>
      <c r="C12" s="27" t="s">
        <v>125</v>
      </c>
      <c r="D12" s="27"/>
      <c r="E12" s="27" t="s">
        <v>33</v>
      </c>
      <c r="F12" s="27" t="s">
        <v>15</v>
      </c>
      <c r="G12" s="28" t="s">
        <v>278</v>
      </c>
      <c r="H12" s="29">
        <f t="shared" si="0"/>
        <v>1.8749999999999989E-2</v>
      </c>
      <c r="I12" s="30">
        <v>0.48125000000000001</v>
      </c>
      <c r="J12" s="30">
        <v>0.5</v>
      </c>
    </row>
    <row r="13" spans="1:12" ht="37.799999999999997" x14ac:dyDescent="0.2">
      <c r="A13" s="22">
        <v>46174</v>
      </c>
      <c r="B13" s="22" t="s">
        <v>17</v>
      </c>
      <c r="C13" s="27" t="s">
        <v>125</v>
      </c>
      <c r="D13" s="27"/>
      <c r="E13" s="27" t="s">
        <v>33</v>
      </c>
      <c r="F13" s="27" t="s">
        <v>15</v>
      </c>
      <c r="G13" s="28" t="s">
        <v>278</v>
      </c>
      <c r="H13" s="29">
        <f t="shared" si="0"/>
        <v>0.125</v>
      </c>
      <c r="I13" s="30">
        <v>0.54166666666666663</v>
      </c>
      <c r="J13" s="30">
        <v>0.66666666666666663</v>
      </c>
      <c r="K13" s="64"/>
    </row>
    <row r="14" spans="1:12" ht="50.4" x14ac:dyDescent="0.2">
      <c r="A14" s="22">
        <v>46174</v>
      </c>
      <c r="B14" s="22" t="s">
        <v>17</v>
      </c>
      <c r="C14" s="27" t="s">
        <v>125</v>
      </c>
      <c r="D14" s="27"/>
      <c r="E14" s="27" t="s">
        <v>62</v>
      </c>
      <c r="F14" s="27" t="s">
        <v>15</v>
      </c>
      <c r="G14" s="28" t="s">
        <v>284</v>
      </c>
      <c r="H14" s="29">
        <f t="shared" si="0"/>
        <v>1.5277777777777835E-2</v>
      </c>
      <c r="I14" s="30">
        <v>0.66666666666666663</v>
      </c>
      <c r="J14" s="30">
        <v>0.68194444444444446</v>
      </c>
      <c r="K14" s="64"/>
      <c r="L14" s="64"/>
    </row>
    <row r="15" spans="1:12" ht="37.799999999999997" x14ac:dyDescent="0.2">
      <c r="A15" s="22">
        <v>46174</v>
      </c>
      <c r="B15" s="22" t="s">
        <v>17</v>
      </c>
      <c r="C15" s="27" t="s">
        <v>125</v>
      </c>
      <c r="D15" s="27"/>
      <c r="E15" s="27" t="s">
        <v>33</v>
      </c>
      <c r="F15" s="27" t="s">
        <v>15</v>
      </c>
      <c r="G15" s="28" t="s">
        <v>278</v>
      </c>
      <c r="H15" s="29">
        <f t="shared" si="0"/>
        <v>3.3333333333333326E-2</v>
      </c>
      <c r="I15" s="30">
        <v>0.68194444444444446</v>
      </c>
      <c r="J15" s="30">
        <v>0.71527777777777779</v>
      </c>
    </row>
    <row r="16" spans="1:12" ht="25.2" x14ac:dyDescent="0.2">
      <c r="A16" s="22">
        <v>46175</v>
      </c>
      <c r="B16" s="22" t="s">
        <v>18</v>
      </c>
      <c r="C16" s="27" t="s">
        <v>125</v>
      </c>
      <c r="D16" s="27"/>
      <c r="E16" s="27" t="s">
        <v>62</v>
      </c>
      <c r="F16" s="27" t="s">
        <v>15</v>
      </c>
      <c r="G16" s="28" t="s">
        <v>244</v>
      </c>
      <c r="H16" s="29">
        <f t="shared" ref="H16:H63" si="1">J16-I16</f>
        <v>1.388888888888884E-3</v>
      </c>
      <c r="I16" s="30">
        <v>0.33333333333333331</v>
      </c>
      <c r="J16" s="30">
        <v>0.3347222222222222</v>
      </c>
    </row>
    <row r="17" spans="1:12" ht="37.799999999999997" x14ac:dyDescent="0.2">
      <c r="A17" s="22">
        <v>46175</v>
      </c>
      <c r="B17" s="22" t="s">
        <v>18</v>
      </c>
      <c r="C17" s="27" t="s">
        <v>125</v>
      </c>
      <c r="D17" s="27"/>
      <c r="E17" s="27" t="s">
        <v>33</v>
      </c>
      <c r="F17" s="27" t="s">
        <v>15</v>
      </c>
      <c r="G17" s="28" t="s">
        <v>278</v>
      </c>
      <c r="H17" s="29">
        <f t="shared" si="1"/>
        <v>0.11805555555555552</v>
      </c>
      <c r="I17" s="30">
        <v>0.34027777777777779</v>
      </c>
      <c r="J17" s="30">
        <v>0.45833333333333331</v>
      </c>
    </row>
    <row r="18" spans="1:12" ht="50.4" x14ac:dyDescent="0.2">
      <c r="A18" s="22">
        <v>46175</v>
      </c>
      <c r="B18" s="22" t="s">
        <v>18</v>
      </c>
      <c r="C18" s="27" t="s">
        <v>125</v>
      </c>
      <c r="D18" s="27"/>
      <c r="E18" s="27" t="s">
        <v>62</v>
      </c>
      <c r="F18" s="27" t="s">
        <v>15</v>
      </c>
      <c r="G18" s="28" t="s">
        <v>277</v>
      </c>
      <c r="H18" s="29">
        <f t="shared" si="1"/>
        <v>3.8194444444444475E-2</v>
      </c>
      <c r="I18" s="30">
        <v>0.45833333333333331</v>
      </c>
      <c r="J18" s="30">
        <v>0.49652777777777779</v>
      </c>
    </row>
    <row r="19" spans="1:12" ht="37.799999999999997" x14ac:dyDescent="0.2">
      <c r="A19" s="22">
        <v>46175</v>
      </c>
      <c r="B19" s="22" t="s">
        <v>18</v>
      </c>
      <c r="C19" s="27" t="s">
        <v>125</v>
      </c>
      <c r="D19" s="27"/>
      <c r="E19" s="27" t="s">
        <v>33</v>
      </c>
      <c r="F19" s="27" t="s">
        <v>15</v>
      </c>
      <c r="G19" s="28" t="s">
        <v>278</v>
      </c>
      <c r="H19" s="29">
        <f t="shared" si="1"/>
        <v>1.041666666666663E-2</v>
      </c>
      <c r="I19" s="30">
        <v>0.49652777777777779</v>
      </c>
      <c r="J19" s="30">
        <v>0.50694444444444442</v>
      </c>
    </row>
    <row r="20" spans="1:12" ht="37.799999999999997" x14ac:dyDescent="0.2">
      <c r="A20" s="22">
        <v>46175</v>
      </c>
      <c r="B20" s="22" t="s">
        <v>18</v>
      </c>
      <c r="C20" s="27" t="s">
        <v>125</v>
      </c>
      <c r="D20" s="27"/>
      <c r="E20" s="27" t="s">
        <v>33</v>
      </c>
      <c r="F20" s="27" t="s">
        <v>15</v>
      </c>
      <c r="G20" s="28" t="s">
        <v>278</v>
      </c>
      <c r="H20" s="29">
        <f t="shared" si="1"/>
        <v>0.11874999999999991</v>
      </c>
      <c r="I20" s="30">
        <v>0.54791666666666672</v>
      </c>
      <c r="J20" s="30">
        <v>0.66666666666666663</v>
      </c>
    </row>
    <row r="21" spans="1:12" ht="50.4" x14ac:dyDescent="0.2">
      <c r="A21" s="22">
        <v>46175</v>
      </c>
      <c r="B21" s="22" t="s">
        <v>18</v>
      </c>
      <c r="C21" s="27" t="s">
        <v>125</v>
      </c>
      <c r="D21" s="27"/>
      <c r="E21" s="27" t="s">
        <v>62</v>
      </c>
      <c r="F21" s="27" t="s">
        <v>15</v>
      </c>
      <c r="G21" s="28" t="s">
        <v>285</v>
      </c>
      <c r="H21" s="29">
        <f t="shared" si="1"/>
        <v>1.5277777777777835E-2</v>
      </c>
      <c r="I21" s="30">
        <v>0.66666666666666663</v>
      </c>
      <c r="J21" s="30">
        <v>0.68194444444444446</v>
      </c>
    </row>
    <row r="22" spans="1:12" ht="37.799999999999997" x14ac:dyDescent="0.2">
      <c r="A22" s="22">
        <v>46175</v>
      </c>
      <c r="B22" s="22" t="s">
        <v>18</v>
      </c>
      <c r="C22" s="27" t="s">
        <v>125</v>
      </c>
      <c r="D22" s="27"/>
      <c r="E22" s="27" t="s">
        <v>33</v>
      </c>
      <c r="F22" s="27" t="s">
        <v>15</v>
      </c>
      <c r="G22" s="28" t="s">
        <v>278</v>
      </c>
      <c r="H22" s="29">
        <f t="shared" si="1"/>
        <v>2.7083333333333348E-2</v>
      </c>
      <c r="I22" s="30">
        <v>0.68194444444444446</v>
      </c>
      <c r="J22" s="30">
        <v>0.70902777777777781</v>
      </c>
      <c r="L22" s="64"/>
    </row>
    <row r="23" spans="1:12" ht="25.2" x14ac:dyDescent="0.2">
      <c r="A23" s="22">
        <v>46176</v>
      </c>
      <c r="B23" s="22" t="s">
        <v>19</v>
      </c>
      <c r="C23" s="27" t="s">
        <v>125</v>
      </c>
      <c r="D23" s="27"/>
      <c r="E23" s="27" t="s">
        <v>62</v>
      </c>
      <c r="F23" s="27" t="s">
        <v>15</v>
      </c>
      <c r="G23" s="28" t="s">
        <v>221</v>
      </c>
      <c r="H23" s="29">
        <f t="shared" si="1"/>
        <v>8.3333333333333592E-3</v>
      </c>
      <c r="I23" s="30">
        <v>0.33333333333333331</v>
      </c>
      <c r="J23" s="30">
        <v>0.34166666666666667</v>
      </c>
    </row>
    <row r="24" spans="1:12" ht="37.799999999999997" x14ac:dyDescent="0.2">
      <c r="A24" s="22">
        <v>46176</v>
      </c>
      <c r="B24" s="22" t="s">
        <v>19</v>
      </c>
      <c r="C24" s="27" t="s">
        <v>125</v>
      </c>
      <c r="D24" s="27"/>
      <c r="E24" s="27" t="s">
        <v>33</v>
      </c>
      <c r="F24" s="27" t="s">
        <v>15</v>
      </c>
      <c r="G24" s="28" t="s">
        <v>278</v>
      </c>
      <c r="H24" s="29">
        <f t="shared" si="1"/>
        <v>0.11666666666666664</v>
      </c>
      <c r="I24" s="30">
        <v>0.34166666666666667</v>
      </c>
      <c r="J24" s="30">
        <v>0.45833333333333331</v>
      </c>
    </row>
    <row r="25" spans="1:12" ht="50.4" x14ac:dyDescent="0.2">
      <c r="A25" s="22">
        <v>46176</v>
      </c>
      <c r="B25" s="22" t="s">
        <v>19</v>
      </c>
      <c r="C25" s="27" t="s">
        <v>125</v>
      </c>
      <c r="D25" s="27"/>
      <c r="E25" s="27" t="s">
        <v>62</v>
      </c>
      <c r="F25" s="27" t="s">
        <v>15</v>
      </c>
      <c r="G25" s="28" t="s">
        <v>277</v>
      </c>
      <c r="H25" s="29">
        <f t="shared" si="1"/>
        <v>3.0555555555555558E-2</v>
      </c>
      <c r="I25" s="30">
        <v>0.45833333333333331</v>
      </c>
      <c r="J25" s="30">
        <v>0.48888888888888887</v>
      </c>
    </row>
    <row r="26" spans="1:12" ht="37.799999999999997" x14ac:dyDescent="0.2">
      <c r="A26" s="22">
        <v>46176</v>
      </c>
      <c r="B26" s="22" t="s">
        <v>19</v>
      </c>
      <c r="C26" s="27" t="s">
        <v>125</v>
      </c>
      <c r="D26" s="27"/>
      <c r="E26" s="27" t="s">
        <v>33</v>
      </c>
      <c r="F26" s="27" t="s">
        <v>15</v>
      </c>
      <c r="G26" s="28" t="s">
        <v>278</v>
      </c>
      <c r="H26" s="29">
        <f t="shared" si="1"/>
        <v>1.4583333333333337E-2</v>
      </c>
      <c r="I26" s="30">
        <v>0.48888888888888887</v>
      </c>
      <c r="J26" s="30">
        <v>0.50347222222222221</v>
      </c>
      <c r="L26" s="64"/>
    </row>
    <row r="27" spans="1:12" ht="37.799999999999997" x14ac:dyDescent="0.2">
      <c r="A27" s="22">
        <v>46176</v>
      </c>
      <c r="B27" s="22" t="s">
        <v>19</v>
      </c>
      <c r="C27" s="27" t="s">
        <v>125</v>
      </c>
      <c r="D27" s="27"/>
      <c r="E27" s="27" t="s">
        <v>33</v>
      </c>
      <c r="F27" s="27" t="s">
        <v>15</v>
      </c>
      <c r="G27" s="28" t="s">
        <v>278</v>
      </c>
      <c r="H27" s="29">
        <f t="shared" si="1"/>
        <v>0.12152777777777779</v>
      </c>
      <c r="I27" s="30">
        <v>0.54513888888888884</v>
      </c>
      <c r="J27" s="30">
        <v>0.66666666666666663</v>
      </c>
    </row>
    <row r="28" spans="1:12" ht="37.799999999999997" x14ac:dyDescent="0.2">
      <c r="A28" s="22">
        <v>46176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8" t="s">
        <v>286</v>
      </c>
      <c r="H28" s="29">
        <f t="shared" si="1"/>
        <v>1.6666666666666718E-2</v>
      </c>
      <c r="I28" s="30">
        <v>0.66666666666666663</v>
      </c>
      <c r="J28" s="30">
        <v>0.68333333333333335</v>
      </c>
    </row>
    <row r="29" spans="1:12" ht="37.799999999999997" x14ac:dyDescent="0.2">
      <c r="A29" s="22">
        <v>46176</v>
      </c>
      <c r="B29" s="22" t="s">
        <v>19</v>
      </c>
      <c r="C29" s="27" t="s">
        <v>125</v>
      </c>
      <c r="D29" s="27"/>
      <c r="E29" s="27" t="s">
        <v>33</v>
      </c>
      <c r="F29" s="27" t="s">
        <v>15</v>
      </c>
      <c r="G29" s="28" t="s">
        <v>287</v>
      </c>
      <c r="H29" s="29">
        <f t="shared" si="1"/>
        <v>4.5833333333333282E-2</v>
      </c>
      <c r="I29" s="30">
        <v>0.68333333333333335</v>
      </c>
      <c r="J29" s="30">
        <v>0.72916666666666663</v>
      </c>
    </row>
    <row r="30" spans="1:12" ht="25.2" x14ac:dyDescent="0.2">
      <c r="A30" s="22">
        <v>46177</v>
      </c>
      <c r="B30" s="22" t="s">
        <v>20</v>
      </c>
      <c r="C30" s="27" t="s">
        <v>125</v>
      </c>
      <c r="D30" s="27"/>
      <c r="E30" s="27" t="s">
        <v>62</v>
      </c>
      <c r="F30" s="27" t="s">
        <v>15</v>
      </c>
      <c r="G30" s="28" t="s">
        <v>221</v>
      </c>
      <c r="H30" s="29">
        <f t="shared" si="1"/>
        <v>2.7777777777778234E-3</v>
      </c>
      <c r="I30" s="30">
        <v>0.33333333333333331</v>
      </c>
      <c r="J30" s="30">
        <v>0.33611111111111114</v>
      </c>
    </row>
    <row r="31" spans="1:12" ht="37.799999999999997" x14ac:dyDescent="0.2">
      <c r="A31" s="22">
        <v>46177</v>
      </c>
      <c r="B31" s="22" t="s">
        <v>20</v>
      </c>
      <c r="C31" s="27" t="s">
        <v>125</v>
      </c>
      <c r="D31" s="27"/>
      <c r="E31" s="27" t="s">
        <v>33</v>
      </c>
      <c r="F31" s="27" t="s">
        <v>15</v>
      </c>
      <c r="G31" s="28" t="s">
        <v>289</v>
      </c>
      <c r="H31" s="29">
        <f t="shared" si="1"/>
        <v>0.12222222222222218</v>
      </c>
      <c r="I31" s="30">
        <v>0.33611111111111114</v>
      </c>
      <c r="J31" s="30">
        <v>0.45833333333333331</v>
      </c>
      <c r="L31" s="64"/>
    </row>
    <row r="32" spans="1:12" ht="50.4" x14ac:dyDescent="0.2">
      <c r="A32" s="22">
        <v>46177</v>
      </c>
      <c r="B32" s="22" t="s">
        <v>20</v>
      </c>
      <c r="C32" s="27" t="s">
        <v>125</v>
      </c>
      <c r="D32" s="27"/>
      <c r="E32" s="27" t="s">
        <v>62</v>
      </c>
      <c r="F32" s="27" t="s">
        <v>15</v>
      </c>
      <c r="G32" s="28" t="s">
        <v>288</v>
      </c>
      <c r="H32" s="29">
        <f t="shared" si="1"/>
        <v>3.0555555555555558E-2</v>
      </c>
      <c r="I32" s="30">
        <v>0.45833333333333331</v>
      </c>
      <c r="J32" s="30">
        <v>0.48888888888888887</v>
      </c>
    </row>
    <row r="33" spans="1:12" ht="37.799999999999997" x14ac:dyDescent="0.2">
      <c r="A33" s="22">
        <v>46177</v>
      </c>
      <c r="B33" s="22" t="s">
        <v>20</v>
      </c>
      <c r="C33" s="27" t="s">
        <v>125</v>
      </c>
      <c r="D33" s="27"/>
      <c r="E33" s="27" t="s">
        <v>33</v>
      </c>
      <c r="F33" s="27" t="s">
        <v>15</v>
      </c>
      <c r="G33" s="28" t="s">
        <v>290</v>
      </c>
      <c r="H33" s="29">
        <f t="shared" si="1"/>
        <v>2.4999999999999967E-2</v>
      </c>
      <c r="I33" s="30">
        <v>0.48888888888888887</v>
      </c>
      <c r="J33" s="30">
        <v>0.51388888888888884</v>
      </c>
    </row>
    <row r="34" spans="1:12" ht="37.799999999999997" x14ac:dyDescent="0.2">
      <c r="A34" s="22">
        <v>46177</v>
      </c>
      <c r="B34" s="22" t="s">
        <v>20</v>
      </c>
      <c r="C34" s="27" t="s">
        <v>125</v>
      </c>
      <c r="D34" s="27"/>
      <c r="E34" s="27" t="s">
        <v>33</v>
      </c>
      <c r="F34" s="27" t="s">
        <v>15</v>
      </c>
      <c r="G34" s="28" t="s">
        <v>291</v>
      </c>
      <c r="H34" s="29">
        <f t="shared" si="1"/>
        <v>0.11111111111111105</v>
      </c>
      <c r="I34" s="30">
        <v>0.55555555555555558</v>
      </c>
      <c r="J34" s="30">
        <v>0.66666666666666663</v>
      </c>
      <c r="L34" s="64"/>
    </row>
    <row r="35" spans="1:12" ht="25.2" x14ac:dyDescent="0.2">
      <c r="A35" s="22">
        <v>46177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274</v>
      </c>
      <c r="H35" s="29">
        <f t="shared" si="1"/>
        <v>4.1666666666666741E-2</v>
      </c>
      <c r="I35" s="30">
        <v>0.66666666666666663</v>
      </c>
      <c r="J35" s="30">
        <v>0.70833333333333337</v>
      </c>
    </row>
    <row r="36" spans="1:12" ht="25.2" x14ac:dyDescent="0.2">
      <c r="A36" s="22">
        <v>46178</v>
      </c>
      <c r="B36" s="22" t="s">
        <v>11</v>
      </c>
      <c r="C36" s="27" t="s">
        <v>125</v>
      </c>
      <c r="D36" s="27"/>
      <c r="E36" s="27" t="s">
        <v>62</v>
      </c>
      <c r="F36" s="27" t="s">
        <v>15</v>
      </c>
      <c r="G36" s="28" t="s">
        <v>292</v>
      </c>
      <c r="H36" s="29">
        <f t="shared" si="1"/>
        <v>2.2222222222222254E-2</v>
      </c>
      <c r="I36" s="30">
        <v>0.33333333333333331</v>
      </c>
      <c r="J36" s="30">
        <v>0.35555555555555557</v>
      </c>
    </row>
    <row r="37" spans="1:12" ht="37.799999999999997" x14ac:dyDescent="0.2">
      <c r="A37" s="22">
        <v>46178</v>
      </c>
      <c r="B37" s="22" t="s">
        <v>11</v>
      </c>
      <c r="C37" s="27" t="s">
        <v>125</v>
      </c>
      <c r="D37" s="27"/>
      <c r="E37" s="27" t="s">
        <v>33</v>
      </c>
      <c r="F37" s="27" t="s">
        <v>15</v>
      </c>
      <c r="G37" s="28" t="s">
        <v>293</v>
      </c>
      <c r="H37" s="29">
        <f t="shared" si="1"/>
        <v>0.12361111111111112</v>
      </c>
      <c r="I37" s="30">
        <v>0.35555555555555557</v>
      </c>
      <c r="J37" s="30">
        <v>0.47916666666666669</v>
      </c>
    </row>
    <row r="38" spans="1:12" ht="50.4" x14ac:dyDescent="0.2">
      <c r="A38" s="22">
        <v>46178</v>
      </c>
      <c r="B38" s="22" t="s">
        <v>11</v>
      </c>
      <c r="C38" s="27" t="s">
        <v>125</v>
      </c>
      <c r="D38" s="27"/>
      <c r="E38" s="27" t="s">
        <v>62</v>
      </c>
      <c r="F38" s="27" t="s">
        <v>15</v>
      </c>
      <c r="G38" s="28" t="s">
        <v>294</v>
      </c>
      <c r="H38" s="29">
        <f t="shared" si="1"/>
        <v>3.9583333333333359E-2</v>
      </c>
      <c r="I38" s="30">
        <v>0.47916666666666669</v>
      </c>
      <c r="J38" s="30">
        <v>0.51875000000000004</v>
      </c>
    </row>
    <row r="39" spans="1:12" ht="37.799999999999997" x14ac:dyDescent="0.2">
      <c r="A39" s="22">
        <v>46178</v>
      </c>
      <c r="B39" s="22" t="s">
        <v>11</v>
      </c>
      <c r="C39" s="27" t="s">
        <v>125</v>
      </c>
      <c r="D39" s="27"/>
      <c r="E39" s="27" t="s">
        <v>33</v>
      </c>
      <c r="F39" s="27" t="s">
        <v>15</v>
      </c>
      <c r="G39" s="28" t="s">
        <v>295</v>
      </c>
      <c r="H39" s="29">
        <f t="shared" si="1"/>
        <v>8.6111111111111083E-2</v>
      </c>
      <c r="I39" s="30">
        <v>0.47708333333333336</v>
      </c>
      <c r="J39" s="30">
        <v>0.56319444444444444</v>
      </c>
    </row>
    <row r="40" spans="1:12" ht="37.799999999999997" x14ac:dyDescent="0.2">
      <c r="A40" s="22">
        <v>46178</v>
      </c>
      <c r="B40" s="22" t="s">
        <v>11</v>
      </c>
      <c r="C40" s="27" t="s">
        <v>125</v>
      </c>
      <c r="D40" s="27"/>
      <c r="E40" s="27" t="s">
        <v>33</v>
      </c>
      <c r="F40" s="27" t="s">
        <v>15</v>
      </c>
      <c r="G40" s="28" t="s">
        <v>296</v>
      </c>
      <c r="H40" s="29">
        <f t="shared" si="1"/>
        <v>6.25E-2</v>
      </c>
      <c r="I40" s="30">
        <v>0.60416666666666663</v>
      </c>
      <c r="J40" s="30">
        <v>0.66666666666666663</v>
      </c>
    </row>
    <row r="41" spans="1:12" ht="25.2" x14ac:dyDescent="0.2">
      <c r="A41" s="22">
        <v>46178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242</v>
      </c>
      <c r="H41" s="29">
        <f t="shared" si="1"/>
        <v>7.0833333333333415E-2</v>
      </c>
      <c r="I41" s="30">
        <v>0.66666666666666663</v>
      </c>
      <c r="J41" s="30">
        <v>0.73750000000000004</v>
      </c>
    </row>
    <row r="42" spans="1:12" x14ac:dyDescent="0.2">
      <c r="A42" s="31">
        <v>46179</v>
      </c>
      <c r="B42" s="31" t="s">
        <v>14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2" x14ac:dyDescent="0.2">
      <c r="A43" s="31">
        <v>46180</v>
      </c>
      <c r="B43" s="31" t="s">
        <v>16</v>
      </c>
      <c r="C43" s="32"/>
      <c r="D43" s="32"/>
      <c r="E43" s="32"/>
      <c r="F43" s="32"/>
      <c r="G43" s="33"/>
      <c r="H43" s="34">
        <f t="shared" si="1"/>
        <v>0</v>
      </c>
      <c r="I43" s="35"/>
      <c r="J43" s="35"/>
    </row>
    <row r="44" spans="1:12" x14ac:dyDescent="0.2">
      <c r="A44" s="22">
        <v>46181</v>
      </c>
      <c r="B44" s="22" t="s">
        <v>17</v>
      </c>
      <c r="C44" s="27"/>
      <c r="D44" s="27"/>
      <c r="E44" s="27"/>
      <c r="F44" s="27"/>
      <c r="G44" s="28"/>
      <c r="H44" s="29">
        <f t="shared" si="1"/>
        <v>0</v>
      </c>
      <c r="I44" s="30"/>
      <c r="J44" s="30"/>
    </row>
    <row r="45" spans="1:12" x14ac:dyDescent="0.2">
      <c r="A45" s="22">
        <v>46182</v>
      </c>
      <c r="B45" s="22" t="s">
        <v>18</v>
      </c>
      <c r="C45" s="27"/>
      <c r="D45" s="27"/>
      <c r="E45" s="27"/>
      <c r="F45" s="27"/>
      <c r="G45" s="28"/>
      <c r="H45" s="29">
        <f t="shared" si="1"/>
        <v>0</v>
      </c>
      <c r="I45" s="30"/>
      <c r="J45" s="30"/>
    </row>
    <row r="46" spans="1:12" x14ac:dyDescent="0.2">
      <c r="A46" s="22">
        <v>46183</v>
      </c>
      <c r="B46" s="22" t="s">
        <v>19</v>
      </c>
      <c r="C46" s="27"/>
      <c r="D46" s="27"/>
      <c r="E46" s="27"/>
      <c r="F46" s="27"/>
      <c r="G46" s="28"/>
      <c r="H46" s="29">
        <f t="shared" si="1"/>
        <v>0</v>
      </c>
      <c r="I46" s="30"/>
      <c r="J46" s="30"/>
    </row>
    <row r="47" spans="1:12" x14ac:dyDescent="0.2">
      <c r="A47" s="22">
        <v>46184</v>
      </c>
      <c r="B47" s="22" t="s">
        <v>20</v>
      </c>
      <c r="C47" s="27"/>
      <c r="D47" s="27"/>
      <c r="E47" s="27"/>
      <c r="F47" s="27"/>
      <c r="G47" s="28"/>
      <c r="H47" s="29">
        <f t="shared" si="1"/>
        <v>0</v>
      </c>
      <c r="I47" s="30"/>
      <c r="J47" s="30"/>
    </row>
    <row r="48" spans="1:12" x14ac:dyDescent="0.2">
      <c r="A48" s="22">
        <v>46185</v>
      </c>
      <c r="B48" s="22" t="s">
        <v>11</v>
      </c>
      <c r="C48" s="27"/>
      <c r="D48" s="27"/>
      <c r="E48" s="27"/>
      <c r="F48" s="27"/>
      <c r="G48" s="28"/>
      <c r="H48" s="29">
        <f t="shared" si="1"/>
        <v>0</v>
      </c>
      <c r="I48" s="30"/>
      <c r="J48" s="30"/>
    </row>
    <row r="49" spans="1:10" x14ac:dyDescent="0.2">
      <c r="A49" s="31">
        <v>46186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46187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46188</v>
      </c>
      <c r="B51" s="22" t="s">
        <v>17</v>
      </c>
      <c r="C51" s="27"/>
      <c r="D51" s="27"/>
      <c r="E51" s="27"/>
      <c r="F51" s="27"/>
      <c r="G51" s="28"/>
      <c r="H51" s="29">
        <f t="shared" si="1"/>
        <v>0</v>
      </c>
      <c r="I51" s="30"/>
      <c r="J51" s="30"/>
    </row>
    <row r="52" spans="1:10" x14ac:dyDescent="0.2">
      <c r="A52" s="47">
        <v>46189</v>
      </c>
      <c r="B52" s="47" t="s">
        <v>18</v>
      </c>
      <c r="C52" s="48" t="s">
        <v>125</v>
      </c>
      <c r="D52" s="48"/>
      <c r="E52" s="48" t="s">
        <v>89</v>
      </c>
      <c r="F52" s="48" t="s">
        <v>15</v>
      </c>
      <c r="G52" s="49" t="s">
        <v>181</v>
      </c>
      <c r="H52" s="50">
        <f t="shared" si="1"/>
        <v>0.33333333333333331</v>
      </c>
      <c r="I52" s="51">
        <v>0.33333333333333331</v>
      </c>
      <c r="J52" s="51">
        <v>0.66666666666666663</v>
      </c>
    </row>
    <row r="53" spans="1:10" x14ac:dyDescent="0.2">
      <c r="A53" s="22">
        <v>46190</v>
      </c>
      <c r="B53" s="22" t="s">
        <v>19</v>
      </c>
      <c r="C53" s="27"/>
      <c r="D53" s="27"/>
      <c r="E53" s="27"/>
      <c r="F53" s="27"/>
      <c r="G53" s="28"/>
      <c r="H53" s="29">
        <f t="shared" si="1"/>
        <v>0</v>
      </c>
      <c r="I53" s="30"/>
      <c r="J53" s="30"/>
    </row>
    <row r="54" spans="1:10" x14ac:dyDescent="0.2">
      <c r="A54" s="22">
        <v>46191</v>
      </c>
      <c r="B54" s="22" t="s">
        <v>20</v>
      </c>
      <c r="C54" s="27"/>
      <c r="D54" s="27"/>
      <c r="E54" s="27"/>
      <c r="F54" s="27"/>
      <c r="G54" s="28"/>
      <c r="H54" s="29">
        <f t="shared" si="1"/>
        <v>0</v>
      </c>
      <c r="I54" s="30"/>
      <c r="J54" s="30"/>
    </row>
    <row r="55" spans="1:10" x14ac:dyDescent="0.2">
      <c r="A55" s="22">
        <v>46192</v>
      </c>
      <c r="B55" s="22" t="s">
        <v>11</v>
      </c>
      <c r="C55" s="27"/>
      <c r="D55" s="27"/>
      <c r="E55" s="27"/>
      <c r="F55" s="27"/>
      <c r="G55" s="28"/>
      <c r="H55" s="29">
        <f t="shared" si="1"/>
        <v>0</v>
      </c>
      <c r="I55" s="30"/>
      <c r="J55" s="30"/>
    </row>
    <row r="56" spans="1:10" x14ac:dyDescent="0.2">
      <c r="A56" s="31">
        <v>46193</v>
      </c>
      <c r="B56" s="31" t="s">
        <v>14</v>
      </c>
      <c r="C56" s="32"/>
      <c r="D56" s="32"/>
      <c r="E56" s="32"/>
      <c r="F56" s="32"/>
      <c r="G56" s="33"/>
      <c r="H56" s="34">
        <f t="shared" si="1"/>
        <v>0</v>
      </c>
      <c r="I56" s="35"/>
      <c r="J56" s="35"/>
    </row>
    <row r="57" spans="1:10" x14ac:dyDescent="0.2">
      <c r="A57" s="31">
        <v>46194</v>
      </c>
      <c r="B57" s="31" t="s">
        <v>16</v>
      </c>
      <c r="C57" s="32"/>
      <c r="D57" s="32"/>
      <c r="E57" s="32"/>
      <c r="F57" s="32"/>
      <c r="G57" s="33"/>
      <c r="H57" s="34">
        <f t="shared" si="1"/>
        <v>0</v>
      </c>
      <c r="I57" s="35"/>
      <c r="J57" s="35"/>
    </row>
    <row r="58" spans="1:10" x14ac:dyDescent="0.2">
      <c r="A58" s="22">
        <v>46195</v>
      </c>
      <c r="B58" s="22" t="s">
        <v>17</v>
      </c>
      <c r="C58" s="27"/>
      <c r="D58" s="27"/>
      <c r="E58" s="27"/>
      <c r="F58" s="27"/>
      <c r="G58" s="28"/>
      <c r="H58" s="29">
        <f t="shared" si="1"/>
        <v>0</v>
      </c>
      <c r="I58" s="30"/>
      <c r="J58" s="30"/>
    </row>
    <row r="59" spans="1:10" x14ac:dyDescent="0.2">
      <c r="A59" s="22">
        <v>46196</v>
      </c>
      <c r="B59" s="22" t="s">
        <v>18</v>
      </c>
      <c r="C59" s="27"/>
      <c r="D59" s="27"/>
      <c r="E59" s="27"/>
      <c r="F59" s="27"/>
      <c r="G59" s="28"/>
      <c r="H59" s="29">
        <f t="shared" si="1"/>
        <v>0</v>
      </c>
      <c r="I59" s="30"/>
      <c r="J59" s="30"/>
    </row>
    <row r="60" spans="1:10" x14ac:dyDescent="0.2">
      <c r="A60" s="22">
        <v>46197</v>
      </c>
      <c r="B60" s="22" t="s">
        <v>19</v>
      </c>
      <c r="C60" s="27"/>
      <c r="D60" s="27"/>
      <c r="E60" s="27"/>
      <c r="F60" s="27"/>
      <c r="G60" s="28"/>
      <c r="H60" s="29">
        <f t="shared" ref="H60" si="2">J60-I60</f>
        <v>0</v>
      </c>
      <c r="I60" s="30"/>
      <c r="J60" s="30"/>
    </row>
    <row r="61" spans="1:10" x14ac:dyDescent="0.2">
      <c r="A61" s="22">
        <v>46198</v>
      </c>
      <c r="B61" s="22" t="s">
        <v>20</v>
      </c>
      <c r="C61" s="27"/>
      <c r="D61" s="27"/>
      <c r="E61" s="27"/>
      <c r="F61" s="27"/>
      <c r="G61" s="28"/>
      <c r="H61" s="29">
        <f t="shared" si="1"/>
        <v>0</v>
      </c>
      <c r="I61" s="30"/>
      <c r="J61" s="30"/>
    </row>
    <row r="62" spans="1:10" x14ac:dyDescent="0.2">
      <c r="A62" s="22">
        <v>46199</v>
      </c>
      <c r="B62" s="22" t="s">
        <v>11</v>
      </c>
      <c r="C62" s="27"/>
      <c r="D62" s="27"/>
      <c r="E62" s="27"/>
      <c r="F62" s="27"/>
      <c r="G62" s="28"/>
      <c r="H62" s="29">
        <f t="shared" si="1"/>
        <v>0</v>
      </c>
      <c r="I62" s="30"/>
      <c r="J62" s="30"/>
    </row>
    <row r="63" spans="1:10" x14ac:dyDescent="0.2">
      <c r="A63" s="31">
        <v>46200</v>
      </c>
      <c r="B63" s="31" t="s">
        <v>14</v>
      </c>
      <c r="C63" s="32"/>
      <c r="D63" s="32"/>
      <c r="E63" s="32"/>
      <c r="F63" s="32"/>
      <c r="G63" s="33"/>
      <c r="H63" s="34">
        <f t="shared" si="1"/>
        <v>0</v>
      </c>
      <c r="I63" s="35"/>
      <c r="J63" s="35"/>
    </row>
    <row r="64" spans="1:10" x14ac:dyDescent="0.2">
      <c r="A64" s="31">
        <v>46201</v>
      </c>
      <c r="B64" s="31" t="s">
        <v>16</v>
      </c>
      <c r="C64" s="32"/>
      <c r="D64" s="32"/>
      <c r="E64" s="32"/>
      <c r="F64" s="32"/>
      <c r="G64" s="33"/>
      <c r="H64" s="34">
        <f t="shared" ref="H64:H66" si="3">J64-I64</f>
        <v>0</v>
      </c>
      <c r="I64" s="35"/>
      <c r="J64" s="35"/>
    </row>
    <row r="65" spans="1:10" x14ac:dyDescent="0.2">
      <c r="A65" s="22">
        <v>46202</v>
      </c>
      <c r="B65" s="22" t="s">
        <v>17</v>
      </c>
      <c r="C65" s="27"/>
      <c r="D65" s="27"/>
      <c r="E65" s="27"/>
      <c r="F65" s="27"/>
      <c r="G65" s="28"/>
      <c r="H65" s="29">
        <f t="shared" si="3"/>
        <v>0</v>
      </c>
      <c r="I65" s="30"/>
      <c r="J65" s="30"/>
    </row>
    <row r="66" spans="1:10" ht="13.2" thickBot="1" x14ac:dyDescent="0.25">
      <c r="A66" s="22">
        <v>46203</v>
      </c>
      <c r="B66" s="22" t="s">
        <v>18</v>
      </c>
      <c r="C66" s="27"/>
      <c r="D66" s="27"/>
      <c r="E66" s="27"/>
      <c r="F66" s="27"/>
      <c r="G66" s="28"/>
      <c r="H66" s="29">
        <f t="shared" si="3"/>
        <v>0</v>
      </c>
      <c r="I66" s="30"/>
      <c r="J66" s="30"/>
    </row>
    <row r="67" spans="1:10" ht="13.95" customHeight="1" thickBot="1" x14ac:dyDescent="0.3">
      <c r="A67" s="45"/>
      <c r="B67" s="45"/>
      <c r="C67" s="45"/>
      <c r="D67" s="45"/>
      <c r="E67" s="1"/>
      <c r="F67" s="1"/>
      <c r="G67" s="45"/>
      <c r="H67" s="36"/>
      <c r="I67" s="37"/>
    </row>
    <row r="68" spans="1:10" ht="13.95" customHeight="1" x14ac:dyDescent="0.25">
      <c r="A68" s="4"/>
      <c r="B68" s="4"/>
      <c r="C68" s="5"/>
      <c r="D68" s="6"/>
      <c r="E68" s="7" t="s">
        <v>21</v>
      </c>
      <c r="F68" s="8">
        <v>168</v>
      </c>
      <c r="H68" s="40"/>
    </row>
    <row r="69" spans="1:10" ht="13.95" customHeight="1" thickBot="1" x14ac:dyDescent="0.3">
      <c r="A69" s="4"/>
      <c r="B69" s="4"/>
      <c r="C69" s="9"/>
      <c r="D69" s="2"/>
      <c r="E69" s="10" t="s">
        <v>22</v>
      </c>
      <c r="F69" s="11">
        <v>21</v>
      </c>
      <c r="H69" s="40"/>
    </row>
    <row r="70" spans="1:10" ht="13.95" customHeight="1" thickBot="1" x14ac:dyDescent="0.3">
      <c r="A70" s="127" t="s">
        <v>23</v>
      </c>
      <c r="B70" s="127"/>
      <c r="C70" s="127"/>
      <c r="D70" s="12"/>
      <c r="E70" s="2"/>
      <c r="F70" s="2"/>
      <c r="H70" s="40"/>
    </row>
    <row r="71" spans="1:10" ht="13.8" x14ac:dyDescent="0.25">
      <c r="A71" s="13"/>
      <c r="B71" s="13"/>
      <c r="C71" s="6"/>
      <c r="D71" s="6"/>
      <c r="E71" s="14" t="s">
        <v>24</v>
      </c>
      <c r="F71" s="15">
        <f>SUMIF(F9:F66,"Billable",H9:H66)</f>
        <v>0</v>
      </c>
      <c r="H71" s="38"/>
    </row>
    <row r="72" spans="1:10" ht="15" customHeight="1" thickBot="1" x14ac:dyDescent="0.3">
      <c r="A72" s="128" t="s">
        <v>25</v>
      </c>
      <c r="B72" s="128"/>
      <c r="C72" s="128"/>
      <c r="D72" s="16"/>
      <c r="E72" s="17" t="s">
        <v>26</v>
      </c>
      <c r="F72" s="18">
        <f>SUMIF(F9:F66,"Non-Billable",H9:H66)</f>
        <v>2.0916666666666668</v>
      </c>
      <c r="H72" s="40"/>
    </row>
    <row r="73" spans="1:10" ht="14.4" thickBot="1" x14ac:dyDescent="0.3">
      <c r="A73" s="2"/>
      <c r="B73" s="2"/>
      <c r="C73" s="2"/>
      <c r="D73" s="2"/>
      <c r="E73" s="19" t="s">
        <v>27</v>
      </c>
      <c r="F73" s="44">
        <f>F71+F72</f>
        <v>2.0916666666666668</v>
      </c>
      <c r="H73" s="40"/>
    </row>
    <row r="74" spans="1:10" ht="13.8" thickBot="1" x14ac:dyDescent="0.3">
      <c r="A74" s="2"/>
      <c r="B74" s="2"/>
      <c r="C74" s="2"/>
      <c r="D74" s="2"/>
      <c r="E74" s="2"/>
      <c r="F74" s="2"/>
      <c r="H74" s="40"/>
    </row>
    <row r="75" spans="1:10" ht="13.8" thickBot="1" x14ac:dyDescent="0.3">
      <c r="A75" s="2"/>
      <c r="B75" s="2"/>
      <c r="C75" s="2"/>
      <c r="D75" s="2"/>
      <c r="E75" s="20" t="s">
        <v>28</v>
      </c>
      <c r="F75" s="21"/>
      <c r="H75" s="40"/>
    </row>
    <row r="76" spans="1:10" ht="13.2" thickBot="1" x14ac:dyDescent="0.25">
      <c r="E76" s="39"/>
      <c r="H76" s="40"/>
    </row>
  </sheetData>
  <mergeCells count="2">
    <mergeCell ref="A70:C70"/>
    <mergeCell ref="A72:C72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76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67:E68 D70:E72 E75">
    <cfRule type="containsText" dxfId="54" priority="1" operator="containsText" text="Religious Leave">
      <formula>NOT(ISERROR(SEARCH("Religious Leave",D67)))</formula>
    </cfRule>
    <cfRule type="containsText" dxfId="53" priority="2" operator="containsText" text="Birthday Leave">
      <formula>NOT(ISERROR(SEARCH("Birthday Leave",D67)))</formula>
    </cfRule>
    <cfRule type="containsText" dxfId="52" priority="3" operator="containsText" text="Study Leave">
      <formula>NOT(ISERROR(SEARCH("Study Leave",D67)))</formula>
    </cfRule>
    <cfRule type="containsText" dxfId="51" priority="4" operator="containsText" text="Family Responsibility Leave">
      <formula>NOT(ISERROR(SEARCH("Family Responsibility Leave",D67)))</formula>
    </cfRule>
    <cfRule type="containsText" dxfId="50" priority="5" operator="containsText" text="Sick Leave">
      <formula>NOT(ISERROR(SEARCH("Sick Leave",D67)))</formula>
    </cfRule>
    <cfRule type="containsText" dxfId="49" priority="6" operator="containsText" text="Annual Leave">
      <formula>NOT(ISERROR(SEARCH("Annual Leave",D67)))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66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C42:C66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C9:C41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F9:F66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7" t="s">
        <v>23</v>
      </c>
      <c r="B43" s="127"/>
      <c r="C43" s="12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8" t="s">
        <v>25</v>
      </c>
      <c r="B45" s="128"/>
      <c r="C45" s="128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7" t="s">
        <v>23</v>
      </c>
      <c r="B43" s="127"/>
      <c r="C43" s="12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8" t="s">
        <v>25</v>
      </c>
      <c r="B45" s="128"/>
      <c r="C45" s="128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7" t="s">
        <v>23</v>
      </c>
      <c r="B42" s="127"/>
      <c r="C42" s="12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8" t="s">
        <v>25</v>
      </c>
      <c r="B44" s="128"/>
      <c r="C44" s="128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4" t="s">
        <v>166</v>
      </c>
      <c r="B8" s="134"/>
      <c r="C8" s="134"/>
      <c r="D8" s="134"/>
      <c r="E8" s="134"/>
      <c r="F8" s="134"/>
    </row>
    <row r="9" spans="1:15" ht="13.5" customHeight="1" thickBot="1" x14ac:dyDescent="0.25">
      <c r="A9" s="82" t="s">
        <v>170</v>
      </c>
      <c r="B9" s="131" t="s">
        <v>167</v>
      </c>
      <c r="C9" s="132"/>
      <c r="D9" s="131" t="s">
        <v>94</v>
      </c>
      <c r="E9" s="132"/>
      <c r="F9" s="83" t="s">
        <v>95</v>
      </c>
    </row>
    <row r="10" spans="1:15" x14ac:dyDescent="0.2">
      <c r="A10" s="78">
        <v>46113</v>
      </c>
      <c r="B10" s="133" t="s">
        <v>168</v>
      </c>
      <c r="C10" s="133"/>
      <c r="D10" s="133" t="s">
        <v>123</v>
      </c>
      <c r="E10" s="133"/>
      <c r="F10" s="77">
        <v>200</v>
      </c>
      <c r="G10" s="129" t="s">
        <v>169</v>
      </c>
      <c r="H10" s="130"/>
      <c r="I10" s="130"/>
      <c r="J10" s="130"/>
      <c r="K10" s="130"/>
      <c r="L10" s="130"/>
      <c r="M10" s="130"/>
      <c r="N10" s="130"/>
      <c r="O10" s="130"/>
    </row>
    <row r="11" spans="1:15" x14ac:dyDescent="0.2">
      <c r="A11" s="78">
        <v>46113</v>
      </c>
      <c r="B11" s="135" t="s">
        <v>171</v>
      </c>
      <c r="C11" s="136"/>
      <c r="D11" s="133" t="s">
        <v>128</v>
      </c>
      <c r="E11" s="133"/>
      <c r="F11" s="77"/>
    </row>
    <row r="12" spans="1:15" x14ac:dyDescent="0.2">
      <c r="A12" s="78">
        <v>46113</v>
      </c>
      <c r="B12" s="135" t="s">
        <v>172</v>
      </c>
      <c r="C12" s="136"/>
      <c r="D12" s="133"/>
      <c r="E12" s="133"/>
      <c r="F12" s="77"/>
    </row>
    <row r="13" spans="1:15" x14ac:dyDescent="0.2">
      <c r="A13" s="78">
        <v>46113</v>
      </c>
      <c r="B13" s="135"/>
      <c r="C13" s="136"/>
      <c r="D13" s="133"/>
      <c r="E13" s="133"/>
      <c r="F13" s="77"/>
    </row>
    <row r="14" spans="1:15" x14ac:dyDescent="0.2">
      <c r="A14" s="78">
        <v>46113</v>
      </c>
      <c r="B14" s="135"/>
      <c r="C14" s="136"/>
      <c r="D14" s="133"/>
      <c r="E14" s="133"/>
      <c r="F14" s="77"/>
    </row>
    <row r="15" spans="1:15" x14ac:dyDescent="0.2">
      <c r="A15" s="78">
        <v>46113</v>
      </c>
      <c r="B15" s="140"/>
      <c r="C15" s="141"/>
      <c r="D15" s="133"/>
      <c r="E15" s="133"/>
      <c r="F15" s="77"/>
    </row>
    <row r="16" spans="1:15" ht="13.2" thickBot="1" x14ac:dyDescent="0.25">
      <c r="A16" s="78">
        <v>46113</v>
      </c>
      <c r="B16" s="135"/>
      <c r="C16" s="136"/>
      <c r="D16" s="133"/>
      <c r="E16" s="133"/>
      <c r="F16" s="77"/>
    </row>
    <row r="17" spans="1:6" ht="13.5" customHeight="1" thickBot="1" x14ac:dyDescent="0.25">
      <c r="A17" s="137" t="s">
        <v>96</v>
      </c>
      <c r="B17" s="138"/>
      <c r="C17" s="138"/>
      <c r="D17" s="138"/>
      <c r="E17" s="139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28" sqref="I28"/>
    </sheetView>
  </sheetViews>
  <sheetFormatPr defaultColWidth="8.69921875" defaultRowHeight="12.6" x14ac:dyDescent="0.2"/>
  <cols>
    <col min="1" max="1" width="18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42"/>
      <c r="B4" s="142"/>
    </row>
    <row r="5" spans="1:6" x14ac:dyDescent="0.2">
      <c r="A5" s="37" t="s">
        <v>2</v>
      </c>
      <c r="B5" s="23" t="s">
        <v>207</v>
      </c>
    </row>
    <row r="6" spans="1:6" x14ac:dyDescent="0.2">
      <c r="A6" s="79" t="s">
        <v>174</v>
      </c>
      <c r="B6" s="123"/>
    </row>
    <row r="7" spans="1:6" x14ac:dyDescent="0.2">
      <c r="A7" s="95" t="s">
        <v>175</v>
      </c>
      <c r="B7" s="124"/>
    </row>
    <row r="8" spans="1:6" x14ac:dyDescent="0.2">
      <c r="A8" s="96"/>
      <c r="B8" s="85"/>
    </row>
    <row r="9" spans="1:6" ht="27.45" customHeight="1" x14ac:dyDescent="0.2">
      <c r="A9" s="155" t="s">
        <v>173</v>
      </c>
      <c r="B9" s="155"/>
      <c r="C9" s="155"/>
      <c r="D9" s="155"/>
      <c r="E9" s="155"/>
      <c r="F9" s="155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46161</v>
      </c>
      <c r="C11" s="117">
        <v>46162</v>
      </c>
      <c r="D11" s="87">
        <v>1</v>
      </c>
      <c r="E11" s="87" t="s">
        <v>120</v>
      </c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2" thickBot="1" x14ac:dyDescent="0.25">
      <c r="A15" s="146"/>
      <c r="B15" s="147"/>
      <c r="C15" s="147"/>
      <c r="D15" s="147"/>
      <c r="E15" s="147"/>
      <c r="F15" s="147"/>
    </row>
    <row r="16" spans="1:6" x14ac:dyDescent="0.2">
      <c r="A16" s="156" t="s">
        <v>103</v>
      </c>
      <c r="B16" s="157"/>
      <c r="C16" s="157"/>
      <c r="D16" s="157"/>
      <c r="E16" s="157"/>
      <c r="F16" s="158"/>
    </row>
    <row r="17" spans="1:6" x14ac:dyDescent="0.2">
      <c r="A17" s="143"/>
      <c r="B17" s="144"/>
      <c r="C17" s="144"/>
      <c r="D17" s="144"/>
      <c r="E17" s="144"/>
      <c r="F17" s="145"/>
    </row>
    <row r="18" spans="1:6" x14ac:dyDescent="0.2">
      <c r="A18" s="143"/>
      <c r="B18" s="144"/>
      <c r="C18" s="144"/>
      <c r="D18" s="144"/>
      <c r="E18" s="144"/>
      <c r="F18" s="145"/>
    </row>
    <row r="19" spans="1:6" ht="13.2" thickBot="1" x14ac:dyDescent="0.25">
      <c r="A19" s="146"/>
      <c r="B19" s="147"/>
      <c r="C19" s="147"/>
      <c r="D19" s="147"/>
      <c r="E19" s="147"/>
      <c r="F19" s="148"/>
    </row>
    <row r="20" spans="1:6" ht="13.2" thickBot="1" x14ac:dyDescent="0.25"/>
    <row r="21" spans="1:6" x14ac:dyDescent="0.2">
      <c r="A21" s="92" t="s">
        <v>0</v>
      </c>
      <c r="B21" s="149"/>
      <c r="C21" s="149"/>
      <c r="D21" s="149"/>
      <c r="E21" s="149"/>
      <c r="F21" s="150"/>
    </row>
    <row r="22" spans="1:6" x14ac:dyDescent="0.2">
      <c r="A22" s="93" t="s">
        <v>104</v>
      </c>
      <c r="B22" s="151"/>
      <c r="C22" s="151"/>
      <c r="D22" s="151"/>
      <c r="E22" s="151"/>
      <c r="F22" s="152"/>
    </row>
    <row r="23" spans="1:6" ht="13.2" thickBot="1" x14ac:dyDescent="0.25">
      <c r="A23" s="94" t="s">
        <v>105</v>
      </c>
      <c r="B23" s="153"/>
      <c r="C23" s="153"/>
      <c r="D23" s="153"/>
      <c r="E23" s="153"/>
      <c r="F23" s="15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56E01B-E74E-4B4C-931F-50A870AF0E91}"/>
</file>

<file path=customXml/itemProps2.xml><?xml version="1.0" encoding="utf-8"?>
<ds:datastoreItem xmlns:ds="http://schemas.openxmlformats.org/officeDocument/2006/customXml" ds:itemID="{1FB081F8-7A39-4BB4-93A2-90CFBA86EE4C}"/>
</file>

<file path=customXml/itemProps3.xml><?xml version="1.0" encoding="utf-8"?>
<ds:datastoreItem xmlns:ds="http://schemas.openxmlformats.org/officeDocument/2006/customXml" ds:itemID="{335938DA-8B1D-437A-8289-2BB47CB2D4EE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Jabulane Poulo</cp:lastModifiedBy>
  <dcterms:created xsi:type="dcterms:W3CDTF">2020-04-02T09:04:10Z</dcterms:created>
  <dcterms:modified xsi:type="dcterms:W3CDTF">2026-06-07T14:24:10Z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