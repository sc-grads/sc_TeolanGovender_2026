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kpada\OneDrive - ADvTECH Ltd\Desktop\"/>
    </mc:Choice>
  </mc:AlternateContent>
  <xr:revisionPtr revIDLastSave="11" documentId="8_{5D82F9B9-C95B-4FD6-8C4D-B31A7BFF422D}" xr6:coauthVersionLast="47" xr6:coauthVersionMax="47" xr10:uidLastSave="{7C37EABF-7314-4B64-A095-E0C26EC98F9A}"/>
  <bookViews>
    <workbookView xWindow="-108" yWindow="-108" windowWidth="23256" windowHeight="12456" xr2:uid="{1C8F8026-B005-4B08-94D3-371A77F74D8F}"/>
  </bookViews>
  <sheets>
    <sheet name="May" sheetId="1" r:id="rId1"/>
    <sheet name="Jun" sheetId="3" r:id="rId2"/>
    <sheet name="Jul" sheetId="4" r:id="rId3"/>
    <sheet name="Aug" sheetId="5" r:id="rId4"/>
    <sheet name="Sep" sheetId="6" r:id="rId5"/>
    <sheet name="Expense Claim" sheetId="8" r:id="rId6"/>
    <sheet name="Leave" sheetId="9" r:id="rId7"/>
    <sheet name="Key" sheetId="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41" i="1"/>
  <c r="H40" i="1"/>
  <c r="H39" i="1"/>
  <c r="H38" i="1"/>
  <c r="H34" i="1"/>
  <c r="H32" i="1"/>
  <c r="H30" i="1"/>
  <c r="H28" i="1"/>
  <c r="H24" i="1"/>
  <c r="H21" i="1"/>
  <c r="H20" i="1"/>
  <c r="H19" i="1"/>
  <c r="H18" i="1"/>
  <c r="H17" i="1"/>
  <c r="H16" i="1"/>
  <c r="H15" i="1"/>
  <c r="H14" i="1"/>
  <c r="H12" i="1"/>
  <c r="H69" i="1"/>
  <c r="H67" i="1"/>
  <c r="H66" i="1"/>
  <c r="H65" i="1"/>
  <c r="H64" i="1"/>
  <c r="H63" i="1"/>
  <c r="H62" i="1"/>
  <c r="H60" i="1"/>
  <c r="H59" i="1"/>
  <c r="H58" i="1"/>
  <c r="H56" i="1"/>
  <c r="H55" i="1"/>
  <c r="H54" i="1"/>
  <c r="H52" i="1"/>
  <c r="H51" i="1"/>
  <c r="H50" i="1"/>
  <c r="H9" i="6"/>
  <c r="H11" i="5"/>
  <c r="H9" i="3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71" i="1"/>
  <c r="H39" i="4"/>
  <c r="D14" i="9"/>
  <c r="F17" i="8"/>
  <c r="B6" i="8" s="1"/>
  <c r="H31" i="3" l="1"/>
  <c r="H12" i="4" l="1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22" i="1"/>
  <c r="H23" i="1"/>
  <c r="H36" i="1"/>
  <c r="H37" i="1"/>
  <c r="H47" i="1"/>
  <c r="H48" i="1"/>
  <c r="H49" i="1"/>
  <c r="H53" i="1"/>
  <c r="H57" i="1"/>
  <c r="H61" i="1"/>
  <c r="H68" i="1"/>
  <c r="H70" i="1"/>
  <c r="F76" i="1" l="1"/>
  <c r="F77" i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78" i="1"/>
  <c r="B6" i="1"/>
</calcChain>
</file>

<file path=xl/sharedStrings.xml><?xml version="1.0" encoding="utf-8"?>
<sst xmlns="http://schemas.openxmlformats.org/spreadsheetml/2006/main" count="733" uniqueCount="253">
  <si>
    <t>Consultant</t>
  </si>
  <si>
    <t xml:space="preserve">Kayden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</si>
  <si>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</si>
  <si>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</si>
  <si>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</si>
  <si>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</si>
  <si>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</si>
  <si>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</si>
  <si>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</si>
  <si>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</si>
  <si>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</si>
  <si>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</si>
  <si>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</si>
  <si>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</si>
  <si>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Internal Sambe</t>
  </si>
  <si>
    <t>Public Holiday</t>
  </si>
  <si>
    <t>Non-Billable</t>
  </si>
  <si>
    <t>Worker's Day</t>
  </si>
  <si>
    <t>Saturday</t>
  </si>
  <si>
    <t>Sunday</t>
  </si>
  <si>
    <t>Monday</t>
  </si>
  <si>
    <t>Training</t>
  </si>
  <si>
    <t>High-Performers Daily Standup
Udemy Microsoft SQL Server Database Administration Course.
Mid-day Check-in. 
Udemy Microsoft SQL Server Database Administration Course.</t>
  </si>
  <si>
    <t>Udemy Microsoft SQL Server Database Administration Course.
High Performers Retrospective.</t>
  </si>
  <si>
    <t>Tuesday</t>
  </si>
  <si>
    <t>High-Performers Daily Standup.
Improved and discussed project with team.
Udemy Microsoft SQL Server Database Administration Course. 
Udemy Microsoft SQL Server Database Administration Course.</t>
  </si>
  <si>
    <t>Meeting</t>
  </si>
  <si>
    <t>Udemy Microsoft SQL Server Database Administration Course. 
Edited my business report.
High-Performers Retrospective</t>
  </si>
  <si>
    <t>Wednesday</t>
  </si>
  <si>
    <t>High-Performers Daily Standup
Udemy Microsoft SQL Server Database Administration Course. 
Mid-day Check-in
Discussed the course</t>
  </si>
  <si>
    <t>Udemy Microsoft SQL Server Database Administration Course. 
High-Performers Retrospective</t>
  </si>
  <si>
    <t>Thursday</t>
  </si>
  <si>
    <t>High-Performers Daily Standup
Udemy Microsoft SQL Server Database Administration Course.
Mid-day Check-in
Discussed the course
Udemy Microsoft SQL Server Database Administration Course.</t>
  </si>
  <si>
    <t>High-Performers Daily Stand-up
Team in durban had a call to dicuss and complete the project dashboard.
Mid-day Check-in
Discussed the course.
Continued to work on dashboard after meeting.</t>
  </si>
  <si>
    <t>Teams call to finish the dashboard for project.
High-Performers Retrospective.</t>
  </si>
  <si>
    <t>High-Performers Daily Standup
Udemy Microsoft SQL Server Database Administration Course.</t>
  </si>
  <si>
    <t>Project discussion with team.</t>
  </si>
  <si>
    <t>Mid-day Check-in. 
Udemy Microsoft SQL Server Database Administration Course.</t>
  </si>
  <si>
    <t>Udemy Microsoft SQL Server Database Administration Course.
High Performers Retrospective.
Attended Internal Training with Shaila.</t>
  </si>
  <si>
    <t>Udemy Microsoft SQL Server Database Administration Course.
High Performers Retrospective.
Went over the coarse for better understanding.</t>
  </si>
  <si>
    <t>Udemy Microsoft SQL Server Database Administration Course.
High Performers Retrospective.
Discussed Project.</t>
  </si>
  <si>
    <t>Annual Leave</t>
  </si>
  <si>
    <t>Attended Graduation.</t>
  </si>
  <si>
    <t>High-Performers Daily Standup
SQL Server Integration Services (SSIS) - An Introduction.
Mid-day Check-in
Discussed the course
SQL Server Integration Services (SSIS) - An Introduction.</t>
  </si>
  <si>
    <t>SQL Server Integration Services (SSIS) - An Introduction.
High Performers Retrospective.</t>
  </si>
  <si>
    <t>High-Performers Daily Standup.
Udemy Course Querying Microsoft Sql Server with T-SQL.
Mid-day Check in
Udemy Course Querying Microsoft Sql Server with T-SQL.</t>
  </si>
  <si>
    <t>Udemy Course Querying Microsoft Sql Server with T-SQL.</t>
  </si>
  <si>
    <t>Meeting with the team to discuss the dashboard</t>
  </si>
  <si>
    <t>High Performers Retrospective.</t>
  </si>
  <si>
    <t>Had a meeting with our team to discuss the project.</t>
  </si>
  <si>
    <t>High-Performers Retrospective</t>
  </si>
  <si>
    <t>High-Perfromers Daily Standup
Udemy Course Querying Microsoft Sql Server with T-SQL.</t>
  </si>
  <si>
    <t>Met with the team to discuss the updated dashboard.</t>
  </si>
  <si>
    <t>Udemy Course Querying Microsoft Sql Server with T-SQL.
Mid-day Check in
Udemy Course Querying Microsoft Sql Server with T-SQL.</t>
  </si>
  <si>
    <t>Met with team to discuss the updated dashboard.</t>
  </si>
  <si>
    <t>High-Perfrormers Retrospective</t>
  </si>
  <si>
    <t>Updated Dashboard Presentation.</t>
  </si>
  <si>
    <t>Udemy Course Querying Microsoft Sql Server with T-SQL.
High-Perfrormers Retrospective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</si>
  <si>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</si>
  <si>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</si>
  <si>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</si>
  <si>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</si>
  <si>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</si>
  <si>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</si>
  <si>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</si>
  <si>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</si>
  <si>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</si>
  <si>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</si>
  <si>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</si>
  <si>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</si>
  <si>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</si>
  <si>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</si>
  <si>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</si>
  <si>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</si>
  <si>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</si>
  <si>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</si>
  <si>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</si>
  <si>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</si>
  <si>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</si>
  <si>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</si>
  <si>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</si>
  <si>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</si>
  <si>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</si>
  <si>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</si>
  <si>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</si>
  <si>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</si>
  <si>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</si>
  <si>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</si>
  <si>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20/05/2026</t>
  </si>
  <si>
    <t>Date To</t>
  </si>
  <si>
    <t>21/05/2026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</si>
  <si>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</si>
  <si>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</si>
  <si>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</si>
  <si>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</si>
  <si>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</si>
  <si>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</si>
  <si>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</si>
  <si>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NA</t>
  </si>
  <si>
    <t>Address and Telephone Number during Annual Leave</t>
  </si>
  <si>
    <t>0726646182-kayden2903@gmail.com</t>
  </si>
  <si>
    <t>Employee Signature</t>
  </si>
  <si>
    <t>K.Padayachee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</si>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</sst>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u/>
      <sz val="11"/>
      <color theme="10"/>
      <name val="Tw Cen MT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21" fillId="0" borderId="9" xfId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64557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0726646182-kayden2903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81"/>
  <sheetViews>
    <sheetView tabSelected="1" zoomScale="65" zoomScaleNormal="60" workbookViewId="0">
      <selection activeCell="A47" sqref="A47:XFD47"/>
    </sheetView>
  </sheetViews>
  <sheetFormatPr defaultColWidth="8.75" defaultRowHeight="12.75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>
      <c r="A5" s="37" t="s">
        <v>0</v>
      </c>
      <c r="B5" s="23" t="s">
        <v>1</v>
      </c>
      <c r="C5" s="37"/>
      <c r="H5" s="40"/>
    </row>
    <row r="6" spans="1:10" ht="12.6">
      <c r="A6" s="37" t="s">
        <v>2</v>
      </c>
      <c r="B6" s="70">
        <f>F76</f>
        <v>0</v>
      </c>
      <c r="C6" s="37"/>
      <c r="D6" s="37"/>
      <c r="E6" s="37"/>
      <c r="H6" s="40"/>
      <c r="J6" s="41"/>
    </row>
    <row r="7" spans="1:10" ht="12.6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12.6">
      <c r="A9" s="47">
        <v>46143</v>
      </c>
      <c r="B9" s="47" t="s">
        <v>13</v>
      </c>
      <c r="C9" s="48" t="s">
        <v>14</v>
      </c>
      <c r="D9" s="48"/>
      <c r="E9" s="48" t="s">
        <v>15</v>
      </c>
      <c r="F9" s="48" t="s">
        <v>16</v>
      </c>
      <c r="G9" s="49" t="s">
        <v>17</v>
      </c>
      <c r="H9" s="50">
        <f t="shared" ref="H9:H71" si="0">J9-I9</f>
        <v>0.33333333333333331</v>
      </c>
      <c r="I9" s="51">
        <v>0.33333333333333331</v>
      </c>
      <c r="J9" s="51">
        <v>0.66666666666666663</v>
      </c>
    </row>
    <row r="10" spans="1:10" ht="12.6">
      <c r="A10" s="31">
        <v>46144</v>
      </c>
      <c r="B10" s="31" t="s">
        <v>18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ht="12.6">
      <c r="A11" s="31">
        <v>46145</v>
      </c>
      <c r="B11" s="31" t="s">
        <v>19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ht="75.75">
      <c r="A12" s="22">
        <v>46146</v>
      </c>
      <c r="B12" s="22" t="s">
        <v>20</v>
      </c>
      <c r="C12" s="27" t="s">
        <v>14</v>
      </c>
      <c r="D12" s="27"/>
      <c r="E12" s="27" t="s">
        <v>21</v>
      </c>
      <c r="F12" s="27" t="s">
        <v>16</v>
      </c>
      <c r="G12" s="28" t="s">
        <v>22</v>
      </c>
      <c r="H12" s="29">
        <f t="shared" ref="H12:H21" si="2">J12-I12</f>
        <v>0.2048611111111111</v>
      </c>
      <c r="I12" s="30">
        <v>0.33333333333333331</v>
      </c>
      <c r="J12" s="30">
        <v>0.53819444444444442</v>
      </c>
    </row>
    <row r="13" spans="1:10" ht="37.5">
      <c r="A13" s="22">
        <v>46146</v>
      </c>
      <c r="B13" s="22" t="s">
        <v>20</v>
      </c>
      <c r="C13" s="27" t="s">
        <v>14</v>
      </c>
      <c r="D13" s="27"/>
      <c r="E13" s="27" t="s">
        <v>21</v>
      </c>
      <c r="F13" s="27" t="s">
        <v>16</v>
      </c>
      <c r="G13" s="28" t="s">
        <v>23</v>
      </c>
      <c r="H13" s="29">
        <v>0.13194444444444445</v>
      </c>
      <c r="I13" s="30">
        <v>0.57847222222222228</v>
      </c>
      <c r="J13" s="30">
        <v>0.7104166666666667</v>
      </c>
    </row>
    <row r="14" spans="1:10" ht="88.5">
      <c r="A14" s="22">
        <v>46147</v>
      </c>
      <c r="B14" s="22" t="s">
        <v>24</v>
      </c>
      <c r="C14" s="27" t="s">
        <v>14</v>
      </c>
      <c r="D14" s="27"/>
      <c r="E14" s="27" t="s">
        <v>21</v>
      </c>
      <c r="F14" s="27" t="s">
        <v>16</v>
      </c>
      <c r="G14" s="28" t="s">
        <v>25</v>
      </c>
      <c r="H14" s="29">
        <f>J14-I14</f>
        <v>0.18055555555555558</v>
      </c>
      <c r="I14" s="30">
        <v>0.33819444444444446</v>
      </c>
      <c r="J14" s="30">
        <v>0.51875000000000004</v>
      </c>
    </row>
    <row r="15" spans="1:10" ht="50.25">
      <c r="A15" s="22">
        <v>46147</v>
      </c>
      <c r="B15" s="22" t="s">
        <v>24</v>
      </c>
      <c r="C15" s="27" t="s">
        <v>14</v>
      </c>
      <c r="D15" s="27"/>
      <c r="E15" s="27" t="s">
        <v>26</v>
      </c>
      <c r="F15" s="27" t="s">
        <v>16</v>
      </c>
      <c r="G15" s="28" t="s">
        <v>27</v>
      </c>
      <c r="H15" s="29">
        <f>J15-I15</f>
        <v>0.15069444444444446</v>
      </c>
      <c r="I15" s="30">
        <v>0.55902777777777779</v>
      </c>
      <c r="J15" s="30">
        <v>0.70972222222222225</v>
      </c>
    </row>
    <row r="16" spans="1:10" ht="63">
      <c r="A16" s="22">
        <v>46148</v>
      </c>
      <c r="B16" s="22" t="s">
        <v>28</v>
      </c>
      <c r="C16" s="27" t="s">
        <v>14</v>
      </c>
      <c r="D16" s="27"/>
      <c r="E16" s="27" t="s">
        <v>21</v>
      </c>
      <c r="F16" s="27" t="s">
        <v>16</v>
      </c>
      <c r="G16" s="28" t="s">
        <v>29</v>
      </c>
      <c r="H16" s="29">
        <f t="shared" si="2"/>
        <v>0.2013888888888889</v>
      </c>
      <c r="I16" s="30">
        <v>0.33333333333333331</v>
      </c>
      <c r="J16" s="30">
        <v>0.53472222222222221</v>
      </c>
    </row>
    <row r="17" spans="1:10" ht="37.5">
      <c r="A17" s="22">
        <v>46148</v>
      </c>
      <c r="B17" s="22" t="s">
        <v>28</v>
      </c>
      <c r="C17" s="27" t="s">
        <v>14</v>
      </c>
      <c r="D17" s="27"/>
      <c r="E17" s="27" t="s">
        <v>21</v>
      </c>
      <c r="F17" s="27" t="s">
        <v>16</v>
      </c>
      <c r="G17" s="28" t="s">
        <v>30</v>
      </c>
      <c r="H17" s="29">
        <f t="shared" si="2"/>
        <v>0.13541666666666674</v>
      </c>
      <c r="I17" s="30">
        <v>0.57499999999999996</v>
      </c>
      <c r="J17" s="30">
        <v>0.7104166666666667</v>
      </c>
    </row>
    <row r="18" spans="1:10" ht="88.5">
      <c r="A18" s="22">
        <v>46149</v>
      </c>
      <c r="B18" s="22" t="s">
        <v>31</v>
      </c>
      <c r="C18" s="27" t="s">
        <v>14</v>
      </c>
      <c r="D18" s="27"/>
      <c r="E18" s="27" t="s">
        <v>21</v>
      </c>
      <c r="F18" s="27" t="s">
        <v>16</v>
      </c>
      <c r="G18" s="28" t="s">
        <v>32</v>
      </c>
      <c r="H18" s="29">
        <f>J18-I18</f>
        <v>0.20833333333333331</v>
      </c>
      <c r="I18" s="30">
        <v>0.33333333333333331</v>
      </c>
      <c r="J18" s="30">
        <v>0.54166666666666663</v>
      </c>
    </row>
    <row r="19" spans="1:10" ht="37.5">
      <c r="A19" s="22">
        <v>46149</v>
      </c>
      <c r="B19" s="22" t="s">
        <v>31</v>
      </c>
      <c r="C19" s="27" t="s">
        <v>14</v>
      </c>
      <c r="D19" s="27"/>
      <c r="E19" s="27" t="s">
        <v>21</v>
      </c>
      <c r="F19" s="27" t="s">
        <v>16</v>
      </c>
      <c r="G19" s="28" t="s">
        <v>23</v>
      </c>
      <c r="H19" s="29">
        <f>J19-I19</f>
        <v>0.12777777777777777</v>
      </c>
      <c r="I19" s="30">
        <v>0.5805555555555556</v>
      </c>
      <c r="J19" s="30">
        <v>0.70833333333333337</v>
      </c>
    </row>
    <row r="20" spans="1:10" ht="88.5">
      <c r="A20" s="22">
        <v>46150</v>
      </c>
      <c r="B20" s="22" t="s">
        <v>13</v>
      </c>
      <c r="C20" s="27" t="s">
        <v>14</v>
      </c>
      <c r="D20" s="27"/>
      <c r="E20" s="27" t="s">
        <v>21</v>
      </c>
      <c r="F20" s="27" t="s">
        <v>16</v>
      </c>
      <c r="G20" s="28" t="s">
        <v>33</v>
      </c>
      <c r="H20" s="29">
        <f t="shared" si="2"/>
        <v>0.20833333333333331</v>
      </c>
      <c r="I20" s="30">
        <v>0.33333333333333331</v>
      </c>
      <c r="J20" s="30">
        <v>0.54166666666666663</v>
      </c>
    </row>
    <row r="21" spans="1:10" ht="37.5">
      <c r="A21" s="22">
        <v>46150</v>
      </c>
      <c r="B21" s="22" t="s">
        <v>13</v>
      </c>
      <c r="C21" s="27" t="s">
        <v>14</v>
      </c>
      <c r="D21" s="27"/>
      <c r="E21" s="27" t="s">
        <v>26</v>
      </c>
      <c r="F21" s="27" t="s">
        <v>16</v>
      </c>
      <c r="G21" s="28" t="s">
        <v>34</v>
      </c>
      <c r="H21" s="29">
        <f t="shared" si="2"/>
        <v>0.12916666666666665</v>
      </c>
      <c r="I21" s="30">
        <v>0.57986111111111116</v>
      </c>
      <c r="J21" s="30">
        <v>0.70902777777777781</v>
      </c>
    </row>
    <row r="22" spans="1:10">
      <c r="A22" s="31">
        <v>46151</v>
      </c>
      <c r="B22" s="31" t="s">
        <v>18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>
      <c r="A23" s="31">
        <v>46152</v>
      </c>
      <c r="B23" s="31" t="s">
        <v>19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ht="37.5">
      <c r="A24" s="22">
        <v>46153</v>
      </c>
      <c r="B24" s="22" t="s">
        <v>20</v>
      </c>
      <c r="C24" s="27" t="s">
        <v>14</v>
      </c>
      <c r="D24" s="27"/>
      <c r="E24" s="27" t="s">
        <v>21</v>
      </c>
      <c r="F24" s="27" t="s">
        <v>16</v>
      </c>
      <c r="G24" s="28" t="s">
        <v>35</v>
      </c>
      <c r="H24" s="29">
        <f t="shared" si="0"/>
        <v>4.1666666666666685E-2</v>
      </c>
      <c r="I24" s="30">
        <v>0.33333333333333331</v>
      </c>
      <c r="J24" s="30">
        <v>0.375</v>
      </c>
    </row>
    <row r="25" spans="1:10">
      <c r="A25" s="22">
        <v>46153</v>
      </c>
      <c r="B25" s="22" t="s">
        <v>20</v>
      </c>
      <c r="C25" s="27" t="s">
        <v>14</v>
      </c>
      <c r="D25" s="27"/>
      <c r="E25" s="27" t="s">
        <v>26</v>
      </c>
      <c r="F25" s="27" t="s">
        <v>16</v>
      </c>
      <c r="G25" s="28" t="s">
        <v>36</v>
      </c>
      <c r="H25" s="29">
        <v>2.0833333333333332E-2</v>
      </c>
      <c r="I25" s="30">
        <v>0.375</v>
      </c>
      <c r="J25" s="30">
        <v>0.39583333333333331</v>
      </c>
    </row>
    <row r="26" spans="1:10" ht="37.5">
      <c r="A26" s="22">
        <v>46153</v>
      </c>
      <c r="B26" s="22" t="s">
        <v>20</v>
      </c>
      <c r="C26" s="27" t="s">
        <v>14</v>
      </c>
      <c r="D26" s="27"/>
      <c r="E26" s="27" t="s">
        <v>21</v>
      </c>
      <c r="F26" s="27" t="s">
        <v>16</v>
      </c>
      <c r="G26" s="28" t="s">
        <v>37</v>
      </c>
      <c r="H26" s="29">
        <v>0.1423611111111111</v>
      </c>
      <c r="I26" s="30">
        <v>0.39583333333333331</v>
      </c>
      <c r="J26" s="30">
        <v>0.53819444444444442</v>
      </c>
    </row>
    <row r="27" spans="1:10" ht="37.5">
      <c r="A27" s="22">
        <v>46153</v>
      </c>
      <c r="B27" s="22" t="s">
        <v>20</v>
      </c>
      <c r="C27" s="27" t="s">
        <v>14</v>
      </c>
      <c r="D27" s="27"/>
      <c r="E27" s="27" t="s">
        <v>21</v>
      </c>
      <c r="F27" s="27" t="s">
        <v>16</v>
      </c>
      <c r="G27" s="28" t="s">
        <v>23</v>
      </c>
      <c r="H27" s="29">
        <v>0.13819444444444445</v>
      </c>
      <c r="I27" s="30">
        <v>0.57916666666666672</v>
      </c>
      <c r="J27" s="30">
        <v>0.71736111111111112</v>
      </c>
    </row>
    <row r="28" spans="1:10" ht="88.5">
      <c r="A28" s="22">
        <v>46154</v>
      </c>
      <c r="B28" s="22" t="s">
        <v>24</v>
      </c>
      <c r="C28" s="27" t="s">
        <v>14</v>
      </c>
      <c r="D28" s="27"/>
      <c r="E28" s="27" t="s">
        <v>21</v>
      </c>
      <c r="F28" s="27" t="s">
        <v>16</v>
      </c>
      <c r="G28" s="28" t="s">
        <v>32</v>
      </c>
      <c r="H28" s="29">
        <f t="shared" si="0"/>
        <v>0.2097222222222222</v>
      </c>
      <c r="I28" s="30">
        <v>0.33333333333333331</v>
      </c>
      <c r="J28" s="30">
        <v>0.54305555555555551</v>
      </c>
    </row>
    <row r="29" spans="1:10" ht="37.5">
      <c r="A29" s="22">
        <v>46154</v>
      </c>
      <c r="B29" s="22" t="s">
        <v>24</v>
      </c>
      <c r="C29" s="27" t="s">
        <v>14</v>
      </c>
      <c r="D29" s="27"/>
      <c r="E29" s="27" t="s">
        <v>21</v>
      </c>
      <c r="F29" s="27" t="s">
        <v>16</v>
      </c>
      <c r="G29" s="28" t="s">
        <v>23</v>
      </c>
      <c r="H29" s="29">
        <v>0.12638888888888888</v>
      </c>
      <c r="I29" s="30">
        <v>0.58263888888888893</v>
      </c>
      <c r="J29" s="30">
        <v>0.70902777777777781</v>
      </c>
    </row>
    <row r="30" spans="1:10" ht="88.5">
      <c r="A30" s="22">
        <v>46155</v>
      </c>
      <c r="B30" s="22" t="s">
        <v>28</v>
      </c>
      <c r="C30" s="27" t="s">
        <v>14</v>
      </c>
      <c r="D30" s="27"/>
      <c r="E30" s="27" t="s">
        <v>21</v>
      </c>
      <c r="F30" s="27" t="s">
        <v>16</v>
      </c>
      <c r="G30" s="28" t="s">
        <v>32</v>
      </c>
      <c r="H30" s="29">
        <f t="shared" si="0"/>
        <v>0.20555555555555555</v>
      </c>
      <c r="I30" s="30">
        <v>0.33333333333333331</v>
      </c>
      <c r="J30" s="30">
        <v>0.53888888888888886</v>
      </c>
    </row>
    <row r="31" spans="1:10" ht="50.25">
      <c r="A31" s="22">
        <v>46155</v>
      </c>
      <c r="B31" s="22" t="s">
        <v>28</v>
      </c>
      <c r="C31" s="27" t="s">
        <v>14</v>
      </c>
      <c r="D31" s="27"/>
      <c r="E31" s="27" t="s">
        <v>21</v>
      </c>
      <c r="F31" s="27" t="s">
        <v>16</v>
      </c>
      <c r="G31" s="28" t="s">
        <v>38</v>
      </c>
      <c r="H31" s="29">
        <v>0.1423611111111111</v>
      </c>
      <c r="I31" s="30">
        <v>0.57916666666666672</v>
      </c>
      <c r="J31" s="30">
        <v>0.72152777777777777</v>
      </c>
    </row>
    <row r="32" spans="1:10" ht="88.5">
      <c r="A32" s="22">
        <v>46156</v>
      </c>
      <c r="B32" s="22" t="s">
        <v>31</v>
      </c>
      <c r="C32" s="27" t="s">
        <v>14</v>
      </c>
      <c r="D32" s="27"/>
      <c r="E32" s="27" t="s">
        <v>21</v>
      </c>
      <c r="F32" s="27" t="s">
        <v>16</v>
      </c>
      <c r="G32" s="28" t="s">
        <v>32</v>
      </c>
      <c r="H32" s="29">
        <f t="shared" si="0"/>
        <v>0.20694444444444443</v>
      </c>
      <c r="I32" s="30">
        <v>0.33333333333333331</v>
      </c>
      <c r="J32" s="30">
        <v>0.54027777777777775</v>
      </c>
    </row>
    <row r="33" spans="1:10" ht="63">
      <c r="A33" s="22">
        <v>46156</v>
      </c>
      <c r="B33" s="22" t="s">
        <v>31</v>
      </c>
      <c r="C33" s="27" t="s">
        <v>14</v>
      </c>
      <c r="D33" s="27"/>
      <c r="E33" s="27" t="s">
        <v>21</v>
      </c>
      <c r="F33" s="27" t="s">
        <v>16</v>
      </c>
      <c r="G33" s="28" t="s">
        <v>39</v>
      </c>
      <c r="H33" s="29">
        <v>0.21736111111111112</v>
      </c>
      <c r="I33" s="30">
        <v>0.57986111111111116</v>
      </c>
      <c r="J33" s="30">
        <v>0.79722222222222228</v>
      </c>
    </row>
    <row r="34" spans="1:10" ht="88.5">
      <c r="A34" s="22">
        <v>46157</v>
      </c>
      <c r="B34" s="22" t="s">
        <v>13</v>
      </c>
      <c r="C34" s="27" t="s">
        <v>14</v>
      </c>
      <c r="D34" s="27"/>
      <c r="E34" s="27" t="s">
        <v>21</v>
      </c>
      <c r="F34" s="27" t="s">
        <v>16</v>
      </c>
      <c r="G34" s="28" t="s">
        <v>32</v>
      </c>
      <c r="H34" s="29">
        <f t="shared" si="0"/>
        <v>0.20694444444444443</v>
      </c>
      <c r="I34" s="30">
        <v>0.33333333333333331</v>
      </c>
      <c r="J34" s="30">
        <v>0.54027777777777775</v>
      </c>
    </row>
    <row r="35" spans="1:10" ht="37.5">
      <c r="A35" s="22">
        <v>46157</v>
      </c>
      <c r="B35" s="22" t="s">
        <v>13</v>
      </c>
      <c r="C35" s="27" t="s">
        <v>14</v>
      </c>
      <c r="D35" s="27"/>
      <c r="E35" s="27" t="s">
        <v>21</v>
      </c>
      <c r="F35" s="27" t="s">
        <v>16</v>
      </c>
      <c r="G35" s="28" t="s">
        <v>23</v>
      </c>
      <c r="H35" s="29">
        <v>0.13402777777777777</v>
      </c>
      <c r="I35" s="30">
        <v>0.57986111111111116</v>
      </c>
      <c r="J35" s="30">
        <v>0.71388888888888891</v>
      </c>
    </row>
    <row r="36" spans="1:10">
      <c r="A36" s="31">
        <v>46158</v>
      </c>
      <c r="B36" s="31" t="s">
        <v>18</v>
      </c>
      <c r="C36" s="32"/>
      <c r="D36" s="32"/>
      <c r="E36" s="32"/>
      <c r="F36" s="32"/>
      <c r="G36" s="33"/>
      <c r="H36" s="34">
        <f t="shared" si="0"/>
        <v>0</v>
      </c>
      <c r="I36" s="35"/>
      <c r="J36" s="35"/>
    </row>
    <row r="37" spans="1:10">
      <c r="A37" s="31">
        <v>46159</v>
      </c>
      <c r="B37" s="31" t="s">
        <v>19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ht="88.5">
      <c r="A38" s="22">
        <v>46160</v>
      </c>
      <c r="B38" s="22" t="s">
        <v>20</v>
      </c>
      <c r="C38" s="27" t="s">
        <v>14</v>
      </c>
      <c r="D38" s="27"/>
      <c r="E38" s="27" t="s">
        <v>21</v>
      </c>
      <c r="F38" s="27" t="s">
        <v>16</v>
      </c>
      <c r="G38" s="28" t="s">
        <v>32</v>
      </c>
      <c r="H38" s="29">
        <f t="shared" si="0"/>
        <v>0.2048611111111111</v>
      </c>
      <c r="I38" s="30">
        <v>0.33333333333333331</v>
      </c>
      <c r="J38" s="30">
        <v>0.53819444444444442</v>
      </c>
    </row>
    <row r="39" spans="1:10" ht="37.5">
      <c r="A39" s="22">
        <v>46160</v>
      </c>
      <c r="B39" s="22" t="s">
        <v>20</v>
      </c>
      <c r="C39" s="27" t="s">
        <v>14</v>
      </c>
      <c r="D39" s="27"/>
      <c r="E39" s="27" t="s">
        <v>21</v>
      </c>
      <c r="F39" s="27" t="s">
        <v>16</v>
      </c>
      <c r="G39" s="28" t="s">
        <v>23</v>
      </c>
      <c r="H39" s="29">
        <f t="shared" si="0"/>
        <v>0.12986111111111109</v>
      </c>
      <c r="I39" s="30">
        <v>0.57916666666666672</v>
      </c>
      <c r="J39" s="30">
        <v>0.70902777777777781</v>
      </c>
    </row>
    <row r="40" spans="1:10" ht="88.5">
      <c r="A40" s="22">
        <v>46161</v>
      </c>
      <c r="B40" s="22" t="s">
        <v>24</v>
      </c>
      <c r="C40" s="27" t="s">
        <v>14</v>
      </c>
      <c r="D40" s="27"/>
      <c r="E40" s="27" t="s">
        <v>21</v>
      </c>
      <c r="F40" s="27" t="s">
        <v>16</v>
      </c>
      <c r="G40" s="40" t="s">
        <v>32</v>
      </c>
      <c r="H40" s="29">
        <f t="shared" si="0"/>
        <v>0.21319444444444441</v>
      </c>
      <c r="I40" s="30">
        <v>0.33333333333333331</v>
      </c>
      <c r="J40" s="30">
        <v>0.54652777777777772</v>
      </c>
    </row>
    <row r="41" spans="1:10" ht="50.25">
      <c r="A41" s="22">
        <v>46161</v>
      </c>
      <c r="B41" s="22" t="s">
        <v>24</v>
      </c>
      <c r="C41" s="27" t="s">
        <v>14</v>
      </c>
      <c r="D41" s="27"/>
      <c r="E41" s="27" t="s">
        <v>26</v>
      </c>
      <c r="F41" s="27" t="s">
        <v>16</v>
      </c>
      <c r="G41" s="28" t="s">
        <v>40</v>
      </c>
      <c r="H41" s="29">
        <f t="shared" si="0"/>
        <v>0.12569444444444444</v>
      </c>
      <c r="I41" s="30">
        <v>0.5854166666666667</v>
      </c>
      <c r="J41" s="30">
        <v>0.71111111111111114</v>
      </c>
    </row>
    <row r="42" spans="1:10">
      <c r="A42" s="22">
        <v>46162</v>
      </c>
      <c r="B42" s="22" t="s">
        <v>28</v>
      </c>
      <c r="C42" s="27" t="s">
        <v>14</v>
      </c>
      <c r="D42" s="27"/>
      <c r="E42" s="27" t="s">
        <v>41</v>
      </c>
      <c r="F42" s="27" t="s">
        <v>16</v>
      </c>
      <c r="G42" s="28" t="s">
        <v>42</v>
      </c>
      <c r="H42" s="29">
        <f t="shared" si="0"/>
        <v>0.37500000000000006</v>
      </c>
      <c r="I42" s="30">
        <v>0.33333333333333331</v>
      </c>
      <c r="J42" s="30">
        <v>0.70833333333333337</v>
      </c>
    </row>
    <row r="43" spans="1:10" ht="88.5">
      <c r="A43" s="22">
        <v>46163</v>
      </c>
      <c r="B43" s="22" t="s">
        <v>31</v>
      </c>
      <c r="C43" s="27" t="s">
        <v>14</v>
      </c>
      <c r="D43" s="27"/>
      <c r="E43" s="27" t="s">
        <v>21</v>
      </c>
      <c r="F43" s="27" t="s">
        <v>16</v>
      </c>
      <c r="G43" s="28" t="s">
        <v>43</v>
      </c>
      <c r="H43" s="29">
        <f t="shared" si="0"/>
        <v>0.20624999999999999</v>
      </c>
      <c r="I43" s="30">
        <v>0.33333333333333331</v>
      </c>
      <c r="J43" s="30">
        <v>0.5395833333333333</v>
      </c>
    </row>
    <row r="44" spans="1:10" ht="37.5">
      <c r="A44" s="22">
        <v>46163</v>
      </c>
      <c r="B44" s="22" t="s">
        <v>31</v>
      </c>
      <c r="C44" s="27" t="s">
        <v>14</v>
      </c>
      <c r="D44" s="27"/>
      <c r="E44" s="27" t="s">
        <v>21</v>
      </c>
      <c r="F44" s="27" t="s">
        <v>16</v>
      </c>
      <c r="G44" s="28" t="s">
        <v>44</v>
      </c>
      <c r="H44" s="29">
        <f t="shared" si="0"/>
        <v>0.14305555555555549</v>
      </c>
      <c r="I44" s="30">
        <v>0.57916666666666672</v>
      </c>
      <c r="J44" s="30">
        <v>0.72222222222222221</v>
      </c>
    </row>
    <row r="45" spans="1:10" ht="88.5">
      <c r="A45" s="22">
        <v>46164</v>
      </c>
      <c r="B45" s="22" t="s">
        <v>13</v>
      </c>
      <c r="C45" s="27" t="s">
        <v>14</v>
      </c>
      <c r="D45" s="27"/>
      <c r="E45" s="27" t="s">
        <v>21</v>
      </c>
      <c r="F45" s="27" t="s">
        <v>16</v>
      </c>
      <c r="G45" s="28" t="s">
        <v>43</v>
      </c>
      <c r="H45" s="29">
        <f t="shared" si="0"/>
        <v>0.21041666666666664</v>
      </c>
      <c r="I45" s="30">
        <v>0.33333333333333331</v>
      </c>
      <c r="J45" s="30">
        <v>0.54374999999999996</v>
      </c>
    </row>
    <row r="46" spans="1:10" ht="37.5">
      <c r="A46" s="22">
        <v>46164</v>
      </c>
      <c r="B46" s="22" t="s">
        <v>13</v>
      </c>
      <c r="C46" s="27" t="s">
        <v>14</v>
      </c>
      <c r="D46" s="27"/>
      <c r="E46" s="27" t="s">
        <v>26</v>
      </c>
      <c r="F46" s="27" t="s">
        <v>16</v>
      </c>
      <c r="G46" s="28" t="s">
        <v>44</v>
      </c>
      <c r="H46" s="29">
        <f t="shared" si="0"/>
        <v>0.15347222222222223</v>
      </c>
      <c r="I46" s="30">
        <v>0.58194444444444449</v>
      </c>
      <c r="J46" s="30">
        <v>0.73541666666666672</v>
      </c>
    </row>
    <row r="47" spans="1:10">
      <c r="A47" s="31">
        <v>46165</v>
      </c>
      <c r="B47" s="31" t="s">
        <v>18</v>
      </c>
      <c r="C47" s="32"/>
      <c r="D47" s="32"/>
      <c r="E47" s="32"/>
      <c r="F47" s="32"/>
      <c r="G47" s="33"/>
      <c r="H47" s="34">
        <f t="shared" si="0"/>
        <v>0</v>
      </c>
      <c r="I47" s="35"/>
      <c r="J47" s="35"/>
    </row>
    <row r="48" spans="1:10">
      <c r="A48" s="31">
        <v>46166</v>
      </c>
      <c r="B48" s="31" t="s">
        <v>19</v>
      </c>
      <c r="C48" s="32"/>
      <c r="D48" s="32"/>
      <c r="E48" s="32"/>
      <c r="F48" s="32"/>
      <c r="G48" s="33"/>
      <c r="H48" s="34">
        <f t="shared" si="0"/>
        <v>0</v>
      </c>
      <c r="I48" s="35"/>
      <c r="J48" s="35"/>
    </row>
    <row r="49" spans="1:10" ht="75.75">
      <c r="A49" s="22">
        <v>46167</v>
      </c>
      <c r="B49" s="22" t="s">
        <v>20</v>
      </c>
      <c r="C49" s="27" t="s">
        <v>14</v>
      </c>
      <c r="D49" s="27"/>
      <c r="E49" s="27" t="s">
        <v>21</v>
      </c>
      <c r="F49" s="27" t="s">
        <v>16</v>
      </c>
      <c r="G49" s="28" t="s">
        <v>45</v>
      </c>
      <c r="H49" s="29">
        <f t="shared" si="0"/>
        <v>0.20694444444444443</v>
      </c>
      <c r="I49" s="30">
        <v>0.33333333333333331</v>
      </c>
      <c r="J49" s="30">
        <v>0.54027777777777775</v>
      </c>
    </row>
    <row r="50" spans="1:10" ht="25.5">
      <c r="A50" s="22">
        <v>46167</v>
      </c>
      <c r="B50" s="22" t="s">
        <v>20</v>
      </c>
      <c r="C50" s="27" t="s">
        <v>14</v>
      </c>
      <c r="D50" s="27"/>
      <c r="E50" s="27" t="s">
        <v>21</v>
      </c>
      <c r="F50" s="27" t="s">
        <v>16</v>
      </c>
      <c r="G50" s="28" t="s">
        <v>46</v>
      </c>
      <c r="H50" s="29">
        <f t="shared" si="0"/>
        <v>2.3611111111111027E-2</v>
      </c>
      <c r="I50" s="30">
        <v>0.5805555555555556</v>
      </c>
      <c r="J50" s="30">
        <v>0.60416666666666663</v>
      </c>
    </row>
    <row r="51" spans="1:10" ht="25.5">
      <c r="A51" s="22">
        <v>46167</v>
      </c>
      <c r="B51" s="22" t="s">
        <v>20</v>
      </c>
      <c r="C51" s="27" t="s">
        <v>14</v>
      </c>
      <c r="D51" s="27"/>
      <c r="E51" s="27" t="s">
        <v>26</v>
      </c>
      <c r="F51" s="27" t="s">
        <v>16</v>
      </c>
      <c r="G51" s="28" t="s">
        <v>47</v>
      </c>
      <c r="H51" s="29">
        <f t="shared" si="0"/>
        <v>6.1805555555555558E-2</v>
      </c>
      <c r="I51" s="30">
        <v>0.60416666666666663</v>
      </c>
      <c r="J51" s="30">
        <v>0.66597222222222219</v>
      </c>
    </row>
    <row r="52" spans="1:10">
      <c r="A52" s="22">
        <v>46167</v>
      </c>
      <c r="B52" s="22" t="s">
        <v>20</v>
      </c>
      <c r="C52" s="27" t="s">
        <v>14</v>
      </c>
      <c r="D52" s="27"/>
      <c r="E52" s="27" t="s">
        <v>26</v>
      </c>
      <c r="F52" s="27" t="s">
        <v>16</v>
      </c>
      <c r="G52" s="28" t="s">
        <v>48</v>
      </c>
      <c r="H52" s="29">
        <f t="shared" si="0"/>
        <v>5.2777777777777812E-2</v>
      </c>
      <c r="I52" s="30">
        <v>0.66666666666666663</v>
      </c>
      <c r="J52" s="30">
        <v>0.71944444444444444</v>
      </c>
    </row>
    <row r="53" spans="1:10" ht="75.75">
      <c r="A53" s="22">
        <v>46168</v>
      </c>
      <c r="B53" s="22" t="s">
        <v>24</v>
      </c>
      <c r="C53" s="27" t="s">
        <v>14</v>
      </c>
      <c r="D53" s="27"/>
      <c r="E53" s="27" t="s">
        <v>21</v>
      </c>
      <c r="F53" s="27" t="s">
        <v>16</v>
      </c>
      <c r="G53" s="28" t="s">
        <v>45</v>
      </c>
      <c r="H53" s="29">
        <f t="shared" si="0"/>
        <v>0.20902777777777776</v>
      </c>
      <c r="I53" s="30">
        <v>0.33333333333333331</v>
      </c>
      <c r="J53" s="30">
        <v>0.54236111111111107</v>
      </c>
    </row>
    <row r="54" spans="1:10" ht="25.5">
      <c r="A54" s="22">
        <v>46168</v>
      </c>
      <c r="B54" s="22" t="s">
        <v>24</v>
      </c>
      <c r="C54" s="27" t="s">
        <v>14</v>
      </c>
      <c r="D54" s="27"/>
      <c r="E54" s="27" t="s">
        <v>21</v>
      </c>
      <c r="F54" s="27" t="s">
        <v>16</v>
      </c>
      <c r="G54" s="28" t="s">
        <v>46</v>
      </c>
      <c r="H54" s="29">
        <f t="shared" si="0"/>
        <v>2.4305555555555469E-2</v>
      </c>
      <c r="I54" s="30">
        <v>0.57986111111111116</v>
      </c>
      <c r="J54" s="30">
        <v>0.60416666666666663</v>
      </c>
    </row>
    <row r="55" spans="1:10" ht="25.5">
      <c r="A55" s="22">
        <v>46168</v>
      </c>
      <c r="B55" s="22" t="s">
        <v>24</v>
      </c>
      <c r="C55" s="27" t="s">
        <v>14</v>
      </c>
      <c r="D55" s="27"/>
      <c r="E55" s="27" t="s">
        <v>26</v>
      </c>
      <c r="F55" s="27" t="s">
        <v>16</v>
      </c>
      <c r="G55" s="28" t="s">
        <v>49</v>
      </c>
      <c r="H55" s="29">
        <f t="shared" si="0"/>
        <v>5.902777777777779E-2</v>
      </c>
      <c r="I55" s="30">
        <v>0.60416666666666663</v>
      </c>
      <c r="J55" s="30">
        <v>0.66319444444444442</v>
      </c>
    </row>
    <row r="56" spans="1:10" ht="13.9" customHeight="1">
      <c r="A56" s="22">
        <v>46168</v>
      </c>
      <c r="B56" s="22" t="s">
        <v>24</v>
      </c>
      <c r="C56" s="27" t="s">
        <v>14</v>
      </c>
      <c r="D56" s="27"/>
      <c r="E56" s="27" t="s">
        <v>26</v>
      </c>
      <c r="F56" s="27" t="s">
        <v>16</v>
      </c>
      <c r="G56" s="28" t="s">
        <v>48</v>
      </c>
      <c r="H56" s="29">
        <f t="shared" si="0"/>
        <v>4.5833333333333393E-2</v>
      </c>
      <c r="I56" s="30">
        <v>0.66666666666666663</v>
      </c>
      <c r="J56" s="30">
        <v>0.71250000000000002</v>
      </c>
    </row>
    <row r="57" spans="1:10" ht="13.9" customHeight="1">
      <c r="A57" s="22">
        <v>46169</v>
      </c>
      <c r="B57" s="22" t="s">
        <v>28</v>
      </c>
      <c r="C57" s="27" t="s">
        <v>14</v>
      </c>
      <c r="D57" s="27"/>
      <c r="E57" s="27" t="s">
        <v>21</v>
      </c>
      <c r="F57" s="27" t="s">
        <v>16</v>
      </c>
      <c r="G57" s="28" t="s">
        <v>45</v>
      </c>
      <c r="H57" s="29">
        <f t="shared" si="0"/>
        <v>0.20347222222222222</v>
      </c>
      <c r="I57" s="30">
        <v>0.33333333333333331</v>
      </c>
      <c r="J57" s="30">
        <v>0.53680555555555554</v>
      </c>
    </row>
    <row r="58" spans="1:10" ht="13.9" customHeight="1">
      <c r="A58" s="22">
        <v>46169</v>
      </c>
      <c r="B58" s="22" t="s">
        <v>28</v>
      </c>
      <c r="C58" s="27" t="s">
        <v>14</v>
      </c>
      <c r="D58" s="27"/>
      <c r="E58" s="27" t="s">
        <v>21</v>
      </c>
      <c r="F58" s="27" t="s">
        <v>16</v>
      </c>
      <c r="G58" s="28" t="s">
        <v>46</v>
      </c>
      <c r="H58" s="29">
        <f t="shared" si="0"/>
        <v>6.9444444444445308E-3</v>
      </c>
      <c r="I58" s="30">
        <v>0.57638888888888884</v>
      </c>
      <c r="J58" s="30">
        <v>0.58333333333333337</v>
      </c>
    </row>
    <row r="59" spans="1:10" ht="13.9" customHeight="1">
      <c r="A59" s="22">
        <v>46169</v>
      </c>
      <c r="B59" s="22" t="s">
        <v>28</v>
      </c>
      <c r="C59" s="27" t="s">
        <v>14</v>
      </c>
      <c r="D59" s="27"/>
      <c r="E59" s="27" t="s">
        <v>26</v>
      </c>
      <c r="F59" s="27" t="s">
        <v>16</v>
      </c>
      <c r="G59" s="28" t="s">
        <v>49</v>
      </c>
      <c r="H59" s="29">
        <f t="shared" si="0"/>
        <v>8.3333333333333259E-2</v>
      </c>
      <c r="I59" s="30">
        <v>0.58333333333333337</v>
      </c>
      <c r="J59" s="30">
        <v>0.66666666666666663</v>
      </c>
    </row>
    <row r="60" spans="1:10" ht="13.9" customHeight="1">
      <c r="A60" s="22">
        <v>46169</v>
      </c>
      <c r="B60" s="22" t="s">
        <v>28</v>
      </c>
      <c r="C60" s="27" t="s">
        <v>14</v>
      </c>
      <c r="D60" s="27"/>
      <c r="E60" s="27" t="s">
        <v>26</v>
      </c>
      <c r="F60" s="27" t="s">
        <v>16</v>
      </c>
      <c r="G60" s="28" t="s">
        <v>50</v>
      </c>
      <c r="H60" s="29">
        <f t="shared" si="0"/>
        <v>8.2638888888888928E-2</v>
      </c>
      <c r="I60" s="30">
        <v>0.66666666666666663</v>
      </c>
      <c r="J60" s="30">
        <v>0.74930555555555556</v>
      </c>
    </row>
    <row r="61" spans="1:10" ht="37.5">
      <c r="A61" s="22">
        <v>46170</v>
      </c>
      <c r="B61" s="22" t="s">
        <v>31</v>
      </c>
      <c r="C61" s="27" t="s">
        <v>14</v>
      </c>
      <c r="D61" s="27"/>
      <c r="E61" s="27" t="s">
        <v>21</v>
      </c>
      <c r="F61" s="27" t="s">
        <v>16</v>
      </c>
      <c r="G61" s="28" t="s">
        <v>51</v>
      </c>
      <c r="H61" s="29">
        <f t="shared" si="0"/>
        <v>4.1666666666666685E-2</v>
      </c>
      <c r="I61" s="30">
        <v>0.33333333333333331</v>
      </c>
      <c r="J61" s="30">
        <v>0.375</v>
      </c>
    </row>
    <row r="62" spans="1:10" ht="15" customHeight="1">
      <c r="A62" s="22">
        <v>46170</v>
      </c>
      <c r="B62" s="22" t="s">
        <v>31</v>
      </c>
      <c r="C62" s="27" t="s">
        <v>14</v>
      </c>
      <c r="D62" s="27"/>
      <c r="E62" s="27" t="s">
        <v>26</v>
      </c>
      <c r="F62" s="27" t="s">
        <v>16</v>
      </c>
      <c r="G62" s="28" t="s">
        <v>52</v>
      </c>
      <c r="H62" s="29">
        <f t="shared" si="0"/>
        <v>6.3194444444444442E-2</v>
      </c>
      <c r="I62" s="30">
        <v>0.37569444444444444</v>
      </c>
      <c r="J62" s="30">
        <v>0.43888888888888888</v>
      </c>
    </row>
    <row r="63" spans="1:10" ht="63">
      <c r="A63" s="22">
        <v>46170</v>
      </c>
      <c r="B63" s="22" t="s">
        <v>31</v>
      </c>
      <c r="C63" s="27" t="s">
        <v>14</v>
      </c>
      <c r="D63" s="27"/>
      <c r="E63" s="27" t="s">
        <v>21</v>
      </c>
      <c r="F63" s="27" t="s">
        <v>16</v>
      </c>
      <c r="G63" s="28" t="s">
        <v>53</v>
      </c>
      <c r="H63" s="29">
        <f t="shared" si="0"/>
        <v>0.1020833333333333</v>
      </c>
      <c r="I63" s="30">
        <v>0.43888888888888888</v>
      </c>
      <c r="J63" s="30">
        <v>0.54097222222222219</v>
      </c>
    </row>
    <row r="64" spans="1:10" ht="25.5">
      <c r="A64" s="22">
        <v>46170</v>
      </c>
      <c r="B64" s="22" t="s">
        <v>31</v>
      </c>
      <c r="C64" s="27" t="s">
        <v>14</v>
      </c>
      <c r="D64" s="27"/>
      <c r="E64" s="27" t="s">
        <v>21</v>
      </c>
      <c r="F64" s="27" t="s">
        <v>16</v>
      </c>
      <c r="G64" s="28" t="s">
        <v>46</v>
      </c>
      <c r="H64" s="29">
        <f t="shared" si="0"/>
        <v>4.4444444444444398E-2</v>
      </c>
      <c r="I64" s="30">
        <v>0.5805555555555556</v>
      </c>
      <c r="J64" s="30">
        <v>0.625</v>
      </c>
    </row>
    <row r="65" spans="1:10" ht="25.5">
      <c r="A65" s="22">
        <v>46170</v>
      </c>
      <c r="B65" s="22" t="s">
        <v>31</v>
      </c>
      <c r="C65" s="27" t="s">
        <v>14</v>
      </c>
      <c r="D65" s="27"/>
      <c r="E65" s="27" t="s">
        <v>26</v>
      </c>
      <c r="F65" s="27" t="s">
        <v>16</v>
      </c>
      <c r="G65" s="28" t="s">
        <v>54</v>
      </c>
      <c r="H65" s="29">
        <f t="shared" si="0"/>
        <v>4.166666666666663E-2</v>
      </c>
      <c r="I65" s="30">
        <v>0.625</v>
      </c>
      <c r="J65" s="30">
        <v>0.66666666666666663</v>
      </c>
    </row>
    <row r="66" spans="1:10">
      <c r="A66" s="22">
        <v>46170</v>
      </c>
      <c r="B66" s="22" t="s">
        <v>31</v>
      </c>
      <c r="C66" s="27" t="s">
        <v>14</v>
      </c>
      <c r="D66" s="27"/>
      <c r="E66" s="27" t="s">
        <v>26</v>
      </c>
      <c r="F66" s="27" t="s">
        <v>16</v>
      </c>
      <c r="G66" s="28" t="s">
        <v>55</v>
      </c>
      <c r="H66" s="29">
        <f t="shared" si="0"/>
        <v>4.1666666666666741E-2</v>
      </c>
      <c r="I66" s="30">
        <v>0.66666666666666663</v>
      </c>
      <c r="J66" s="30">
        <v>0.70833333333333337</v>
      </c>
    </row>
    <row r="67" spans="1:10">
      <c r="A67" s="22">
        <v>46170</v>
      </c>
      <c r="B67" s="22" t="s">
        <v>31</v>
      </c>
      <c r="C67" s="27" t="s">
        <v>14</v>
      </c>
      <c r="D67" s="27"/>
      <c r="E67" s="27" t="s">
        <v>26</v>
      </c>
      <c r="F67" s="27" t="s">
        <v>16</v>
      </c>
      <c r="G67" s="28" t="s">
        <v>56</v>
      </c>
      <c r="H67" s="29">
        <f t="shared" si="0"/>
        <v>1.9444444444444375E-2</v>
      </c>
      <c r="I67" s="30">
        <v>0.70833333333333337</v>
      </c>
      <c r="J67" s="30">
        <v>0.72777777777777775</v>
      </c>
    </row>
    <row r="68" spans="1:10" ht="63">
      <c r="A68" s="22">
        <v>46171</v>
      </c>
      <c r="B68" s="22" t="s">
        <v>13</v>
      </c>
      <c r="C68" s="27" t="s">
        <v>14</v>
      </c>
      <c r="D68" s="27"/>
      <c r="E68" s="27" t="s">
        <v>21</v>
      </c>
      <c r="F68" s="27" t="s">
        <v>16</v>
      </c>
      <c r="G68" s="28" t="s">
        <v>53</v>
      </c>
      <c r="H68" s="29">
        <f t="shared" si="0"/>
        <v>0.20694444444444443</v>
      </c>
      <c r="I68" s="30">
        <v>0.33333333333333331</v>
      </c>
      <c r="J68" s="30">
        <v>0.54027777777777775</v>
      </c>
    </row>
    <row r="69" spans="1:10" ht="37.5">
      <c r="A69" s="22">
        <v>46171</v>
      </c>
      <c r="B69" s="22" t="s">
        <v>13</v>
      </c>
      <c r="C69" s="27" t="s">
        <v>14</v>
      </c>
      <c r="D69" s="27"/>
      <c r="E69" s="27" t="s">
        <v>21</v>
      </c>
      <c r="F69" s="27" t="s">
        <v>16</v>
      </c>
      <c r="G69" s="28" t="s">
        <v>57</v>
      </c>
      <c r="H69" s="29">
        <f t="shared" si="0"/>
        <v>0.15416666666666656</v>
      </c>
      <c r="I69" s="30">
        <v>0.57916666666666672</v>
      </c>
      <c r="J69" s="30">
        <v>0.73333333333333328</v>
      </c>
    </row>
    <row r="70" spans="1:10">
      <c r="A70" s="31">
        <v>46172</v>
      </c>
      <c r="B70" s="31" t="s">
        <v>18</v>
      </c>
      <c r="C70" s="32"/>
      <c r="D70" s="32"/>
      <c r="E70" s="32"/>
      <c r="F70" s="32"/>
      <c r="G70" s="33"/>
      <c r="H70" s="34">
        <f t="shared" si="0"/>
        <v>0</v>
      </c>
      <c r="I70" s="35"/>
      <c r="J70" s="35"/>
    </row>
    <row r="71" spans="1:10">
      <c r="A71" s="31">
        <v>46173</v>
      </c>
      <c r="B71" s="31" t="s">
        <v>19</v>
      </c>
      <c r="C71" s="32"/>
      <c r="D71" s="95"/>
      <c r="E71" s="95"/>
      <c r="F71" s="32"/>
      <c r="G71" s="95"/>
      <c r="H71" s="34">
        <f t="shared" si="0"/>
        <v>0</v>
      </c>
      <c r="I71" s="96"/>
      <c r="J71" s="32"/>
    </row>
    <row r="72" spans="1:10">
      <c r="A72" s="46"/>
      <c r="B72" s="45"/>
      <c r="C72" s="45"/>
      <c r="D72" s="45"/>
      <c r="E72" s="45"/>
      <c r="F72" s="45"/>
      <c r="G72" s="45"/>
      <c r="H72" s="36"/>
      <c r="I72" s="37"/>
    </row>
    <row r="73" spans="1:10">
      <c r="A73" s="4"/>
      <c r="B73" s="4"/>
      <c r="C73" s="5"/>
      <c r="D73" s="6"/>
      <c r="E73" s="7" t="s">
        <v>58</v>
      </c>
      <c r="F73" s="8">
        <v>160</v>
      </c>
      <c r="H73" s="40"/>
    </row>
    <row r="74" spans="1:10">
      <c r="A74" s="4"/>
      <c r="B74" s="4"/>
      <c r="C74" s="9"/>
      <c r="D74" s="2"/>
      <c r="E74" s="10" t="s">
        <v>59</v>
      </c>
      <c r="F74" s="11">
        <v>20</v>
      </c>
      <c r="H74" s="40"/>
    </row>
    <row r="75" spans="1:10" ht="14.25">
      <c r="A75" s="120" t="s">
        <v>60</v>
      </c>
      <c r="B75" s="120"/>
      <c r="C75" s="120"/>
      <c r="D75" s="12"/>
      <c r="E75" s="2"/>
      <c r="F75" s="2"/>
      <c r="H75" s="40"/>
    </row>
    <row r="76" spans="1:10" ht="14.25">
      <c r="A76" s="13"/>
      <c r="B76" s="13"/>
      <c r="C76" s="6"/>
      <c r="D76" s="6"/>
      <c r="E76" s="14" t="s">
        <v>61</v>
      </c>
      <c r="F76" s="15">
        <f>SUMIF(F9:F71,"Billable",H9:H71)</f>
        <v>0</v>
      </c>
      <c r="H76" s="38"/>
    </row>
    <row r="77" spans="1:10" ht="14.25">
      <c r="A77" s="121" t="s">
        <v>62</v>
      </c>
      <c r="B77" s="121"/>
      <c r="C77" s="121"/>
      <c r="D77" s="16"/>
      <c r="E77" s="17" t="s">
        <v>63</v>
      </c>
      <c r="F77" s="18">
        <f>SUMIF(F9:F71,"Non-Billable",H9:H71)</f>
        <v>7.3409722222222227</v>
      </c>
      <c r="H77" s="40"/>
    </row>
    <row r="78" spans="1:10" ht="14.25">
      <c r="A78" s="2"/>
      <c r="B78" s="2"/>
      <c r="C78" s="2"/>
      <c r="D78" s="2"/>
      <c r="E78" s="19" t="s">
        <v>64</v>
      </c>
      <c r="F78" s="44">
        <f>F76+F77</f>
        <v>7.3409722222222227</v>
      </c>
      <c r="H78" s="40"/>
    </row>
    <row r="79" spans="1:10">
      <c r="A79" s="2"/>
      <c r="B79" s="2"/>
      <c r="C79" s="2"/>
      <c r="D79" s="2"/>
      <c r="E79" s="2"/>
      <c r="F79" s="2"/>
      <c r="H79" s="40"/>
    </row>
    <row r="80" spans="1:10">
      <c r="A80" s="2"/>
      <c r="B80" s="2"/>
      <c r="C80" s="2"/>
      <c r="D80" s="2"/>
      <c r="E80" s="20" t="s">
        <v>65</v>
      </c>
      <c r="F80" s="21"/>
      <c r="H80" s="40"/>
    </row>
    <row r="81" spans="5:8">
      <c r="E81" s="39"/>
      <c r="H81" s="40"/>
    </row>
  </sheetData>
  <mergeCells count="2">
    <mergeCell ref="A75:C75"/>
    <mergeCell ref="A77:C77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81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71:E73 D75:E77 E80">
    <cfRule type="containsText" dxfId="77" priority="1" operator="containsText" text="Religious Leave">
      <formula>NOT(ISERROR(SEARCH("Religious Leave",D71)))</formula>
    </cfRule>
    <cfRule type="containsText" dxfId="76" priority="2" operator="containsText" text="Birthday Leave">
      <formula>NOT(ISERROR(SEARCH("Birthday Leave",D71)))</formula>
    </cfRule>
    <cfRule type="containsText" dxfId="75" priority="3" operator="containsText" text="Study Leave">
      <formula>NOT(ISERROR(SEARCH("Study Leave",D71)))</formula>
    </cfRule>
    <cfRule type="containsText" dxfId="74" priority="4" operator="containsText" text="Family Responsibility Leave">
      <formula>NOT(ISERROR(SEARCH("Family Responsibility Leave",D71)))</formula>
    </cfRule>
    <cfRule type="containsText" dxfId="73" priority="5" operator="containsText" text="Sick Leave">
      <formula>NOT(ISERROR(SEARCH("Sick Leave",D71)))</formula>
    </cfRule>
    <cfRule type="containsText" dxfId="72" priority="6" operator="containsText" text="Annual Leave">
      <formula>NOT(ISERROR(SEARCH("Annual Leave",D71)))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70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 F22:F23 F36:F37 F47:F71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 E22:E23 E36:E37 E47:E70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 C22:C23 C36:C37 C47:C71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66</v>
      </c>
      <c r="C5" s="37"/>
      <c r="H5" s="40"/>
    </row>
    <row r="6" spans="1:10">
      <c r="A6" s="37" t="s">
        <v>2</v>
      </c>
      <c r="B6" s="70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20</v>
      </c>
      <c r="C9" s="27" t="s">
        <v>14</v>
      </c>
      <c r="D9" s="27" t="s">
        <v>66</v>
      </c>
      <c r="E9" s="27" t="s">
        <v>67</v>
      </c>
      <c r="F9" s="27" t="s">
        <v>68</v>
      </c>
      <c r="G9" s="28" t="s">
        <v>69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46175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46176</v>
      </c>
      <c r="B11" s="22" t="s">
        <v>28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46177</v>
      </c>
      <c r="B12" s="22" t="s">
        <v>31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46178</v>
      </c>
      <c r="B13" s="22" t="s">
        <v>13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46179</v>
      </c>
      <c r="B14" s="31" t="s">
        <v>18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46180</v>
      </c>
      <c r="B15" s="31" t="s">
        <v>19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46181</v>
      </c>
      <c r="B16" s="22" t="s">
        <v>20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46182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46183</v>
      </c>
      <c r="B18" s="22" t="s">
        <v>28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46184</v>
      </c>
      <c r="B19" s="22" t="s">
        <v>31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46185</v>
      </c>
      <c r="B20" s="22" t="s">
        <v>13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46186</v>
      </c>
      <c r="B21" s="31" t="s">
        <v>18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46187</v>
      </c>
      <c r="B22" s="31" t="s">
        <v>19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46188</v>
      </c>
      <c r="B23" s="22" t="s">
        <v>20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46189</v>
      </c>
      <c r="B24" s="47" t="s">
        <v>24</v>
      </c>
      <c r="C24" s="48" t="s">
        <v>14</v>
      </c>
      <c r="D24" s="48"/>
      <c r="E24" s="48" t="s">
        <v>15</v>
      </c>
      <c r="F24" s="48" t="s">
        <v>16</v>
      </c>
      <c r="G24" s="49" t="s">
        <v>70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46190</v>
      </c>
      <c r="B25" s="22" t="s">
        <v>28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46191</v>
      </c>
      <c r="B26" s="22" t="s">
        <v>31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46192</v>
      </c>
      <c r="B27" s="22" t="s">
        <v>13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46193</v>
      </c>
      <c r="B28" s="31" t="s">
        <v>18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46194</v>
      </c>
      <c r="B29" s="31" t="s">
        <v>19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46195</v>
      </c>
      <c r="B30" s="22" t="s">
        <v>20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46196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46197</v>
      </c>
      <c r="B32" s="22" t="s">
        <v>28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22">
        <v>46198</v>
      </c>
      <c r="B33" s="22" t="s">
        <v>31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46199</v>
      </c>
      <c r="B34" s="22" t="s">
        <v>13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31">
        <v>46200</v>
      </c>
      <c r="B35" s="31" t="s">
        <v>18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46201</v>
      </c>
      <c r="B36" s="31" t="s">
        <v>19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46202</v>
      </c>
      <c r="B37" s="22" t="s">
        <v>20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15" thickBot="1">
      <c r="A38" s="22">
        <v>46203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58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59</v>
      </c>
      <c r="F41" s="11">
        <v>21</v>
      </c>
      <c r="H41" s="40"/>
    </row>
    <row r="42" spans="1:10" ht="13.9" customHeight="1" thickBot="1">
      <c r="A42" s="120" t="s">
        <v>60</v>
      </c>
      <c r="B42" s="120"/>
      <c r="C42" s="120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61</v>
      </c>
      <c r="F43" s="15">
        <f>SUMIF(F9:F38,"Billable",H9:H38)</f>
        <v>0.33333333333333331</v>
      </c>
      <c r="H43" s="38"/>
    </row>
    <row r="44" spans="1:10" ht="15" customHeight="1" thickBot="1">
      <c r="A44" s="121" t="s">
        <v>62</v>
      </c>
      <c r="B44" s="121"/>
      <c r="C44" s="121"/>
      <c r="D44" s="16"/>
      <c r="E44" s="17" t="s">
        <v>63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64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65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8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39:E40 D42:E44 E47">
    <cfRule type="containsText" dxfId="61" priority="1" operator="containsText" text="Religious Leave">
      <formula>NOT(ISERROR(SEARCH("Religious Leave",D39)))</formula>
    </cfRule>
    <cfRule type="containsText" dxfId="60" priority="2" operator="containsText" text="Birthday Leave">
      <formula>NOT(ISERROR(SEARCH("Birthday Leave",D39)))</formula>
    </cfRule>
    <cfRule type="containsText" dxfId="59" priority="3" operator="containsText" text="Study Leave">
      <formula>NOT(ISERROR(SEARCH("Study Leave",D39)))</formula>
    </cfRule>
    <cfRule type="containsText" dxfId="58" priority="4" operator="containsText" text="Family Responsibility Leave">
      <formula>NOT(ISERROR(SEARCH("Family Responsibility Leave",D39)))</formula>
    </cfRule>
    <cfRule type="containsText" dxfId="57" priority="5" operator="containsText" text="Sick Leave">
      <formula>NOT(ISERROR(SEARCH("Sick Leave",D39)))</formula>
    </cfRule>
    <cfRule type="containsText" dxfId="56" priority="6" operator="containsText" text="Annual Leave">
      <formula>NOT(ISERROR(SEARCH("Annual Leave",D39)))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66</v>
      </c>
      <c r="C5" s="37"/>
      <c r="H5" s="40"/>
    </row>
    <row r="6" spans="1:10">
      <c r="A6" s="37" t="s">
        <v>2</v>
      </c>
      <c r="B6" s="70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28</v>
      </c>
      <c r="C9" s="27" t="s">
        <v>14</v>
      </c>
      <c r="D9" s="27" t="s">
        <v>66</v>
      </c>
      <c r="E9" s="27" t="s">
        <v>67</v>
      </c>
      <c r="F9" s="27" t="s">
        <v>68</v>
      </c>
      <c r="G9" s="28" t="s">
        <v>69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31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13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18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19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20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28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31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18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19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20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28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31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18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19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20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28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31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13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18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19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20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28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31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13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58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59</v>
      </c>
      <c r="F42" s="11">
        <v>23</v>
      </c>
      <c r="H42" s="40"/>
    </row>
    <row r="43" spans="1:10" ht="13.9" customHeight="1" thickBot="1">
      <c r="A43" s="120" t="s">
        <v>60</v>
      </c>
      <c r="B43" s="120"/>
      <c r="C43" s="120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61</v>
      </c>
      <c r="F44" s="15">
        <f>SUMIF(F9:F39,"Billable",H9:H39)</f>
        <v>0.33333333333333331</v>
      </c>
      <c r="H44" s="38"/>
    </row>
    <row r="45" spans="1:10" ht="15" customHeight="1" thickBot="1">
      <c r="A45" s="121" t="s">
        <v>62</v>
      </c>
      <c r="B45" s="121"/>
      <c r="C45" s="121"/>
      <c r="D45" s="16"/>
      <c r="E45" s="17" t="s">
        <v>63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64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65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66</v>
      </c>
      <c r="C5" s="37"/>
      <c r="H5" s="40"/>
    </row>
    <row r="6" spans="1:10">
      <c r="A6" s="37" t="s">
        <v>2</v>
      </c>
      <c r="B6" s="70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18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19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20</v>
      </c>
      <c r="C11" s="27" t="s">
        <v>14</v>
      </c>
      <c r="D11" s="27" t="s">
        <v>66</v>
      </c>
      <c r="E11" s="27" t="s">
        <v>67</v>
      </c>
      <c r="F11" s="27" t="s">
        <v>68</v>
      </c>
      <c r="G11" s="28" t="s">
        <v>69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24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28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31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13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18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19</v>
      </c>
      <c r="C17" s="32"/>
      <c r="D17" s="32"/>
      <c r="E17" s="32"/>
      <c r="F17" s="32"/>
      <c r="G17" s="33" t="s">
        <v>71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20</v>
      </c>
      <c r="C18" s="48" t="s">
        <v>14</v>
      </c>
      <c r="D18" s="48"/>
      <c r="E18" s="48" t="s">
        <v>15</v>
      </c>
      <c r="F18" s="48" t="s">
        <v>16</v>
      </c>
      <c r="G18" s="49" t="s">
        <v>72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24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28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31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13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18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19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20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24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28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31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13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18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19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20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24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28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31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13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18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19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20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58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59</v>
      </c>
      <c r="F42" s="11">
        <v>20</v>
      </c>
      <c r="H42" s="40"/>
    </row>
    <row r="43" spans="1:10" ht="13.9" customHeight="1" thickBot="1">
      <c r="A43" s="120" t="s">
        <v>60</v>
      </c>
      <c r="B43" s="120"/>
      <c r="C43" s="120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61</v>
      </c>
      <c r="F44" s="15">
        <f>SUMIF(F9:F39,"Billable",H9:H39)</f>
        <v>0.33333333333333331</v>
      </c>
      <c r="H44" s="38"/>
    </row>
    <row r="45" spans="1:10" ht="15" customHeight="1" thickBot="1">
      <c r="A45" s="121" t="s">
        <v>62</v>
      </c>
      <c r="B45" s="121"/>
      <c r="C45" s="121"/>
      <c r="D45" s="16"/>
      <c r="E45" s="17" t="s">
        <v>63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64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65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66</v>
      </c>
      <c r="C5" s="37"/>
      <c r="H5" s="40"/>
    </row>
    <row r="6" spans="1:10">
      <c r="A6" s="37" t="s">
        <v>2</v>
      </c>
      <c r="B6" s="70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24</v>
      </c>
      <c r="C9" s="27" t="s">
        <v>14</v>
      </c>
      <c r="D9" s="27" t="s">
        <v>66</v>
      </c>
      <c r="E9" s="27" t="s">
        <v>67</v>
      </c>
      <c r="F9" s="27" t="s">
        <v>68</v>
      </c>
      <c r="G9" s="28" t="s">
        <v>69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28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31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13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18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19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20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24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28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31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13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18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19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20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24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28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31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13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18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19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20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24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28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31</v>
      </c>
      <c r="C32" s="48" t="s">
        <v>14</v>
      </c>
      <c r="D32" s="48"/>
      <c r="E32" s="48" t="s">
        <v>15</v>
      </c>
      <c r="F32" s="48" t="s">
        <v>16</v>
      </c>
      <c r="G32" s="49" t="s">
        <v>73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13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18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19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20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24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28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58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59</v>
      </c>
      <c r="F41" s="11">
        <v>21</v>
      </c>
      <c r="H41" s="40"/>
    </row>
    <row r="42" spans="1:10" ht="13.9" customHeight="1" thickBot="1">
      <c r="A42" s="120" t="s">
        <v>60</v>
      </c>
      <c r="B42" s="120"/>
      <c r="C42" s="120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61</v>
      </c>
      <c r="F43" s="15">
        <f>SUMIF(F9:F38,"Billable",H9:H38)</f>
        <v>0.33333333333333331</v>
      </c>
      <c r="H43" s="38"/>
    </row>
    <row r="44" spans="1:10" ht="15" customHeight="1" thickBot="1">
      <c r="A44" s="121" t="s">
        <v>62</v>
      </c>
      <c r="B44" s="121"/>
      <c r="C44" s="121"/>
      <c r="D44" s="16"/>
      <c r="E44" s="17" t="s">
        <v>63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64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65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78"/>
      <c r="B1" s="78"/>
      <c r="C1" s="78"/>
      <c r="D1" s="78"/>
      <c r="E1" s="78"/>
      <c r="F1" s="78"/>
    </row>
    <row r="2" spans="1:15">
      <c r="A2" s="77"/>
      <c r="B2" s="77"/>
      <c r="C2" s="82"/>
      <c r="D2" s="82"/>
      <c r="E2" s="82"/>
      <c r="F2" s="82"/>
    </row>
    <row r="3" spans="1:15">
      <c r="A3" s="77"/>
      <c r="B3" s="77"/>
      <c r="C3" s="83"/>
      <c r="D3" s="83"/>
      <c r="E3" s="83"/>
      <c r="F3" s="83"/>
    </row>
    <row r="4" spans="1:15">
      <c r="A4" s="77"/>
      <c r="B4" s="77"/>
      <c r="C4" s="84"/>
      <c r="D4" s="84"/>
      <c r="E4" s="84"/>
      <c r="F4" s="84"/>
    </row>
    <row r="5" spans="1:15">
      <c r="A5" s="37" t="s">
        <v>0</v>
      </c>
      <c r="B5" s="23" t="s">
        <v>66</v>
      </c>
      <c r="C5" s="84"/>
      <c r="D5" s="84"/>
      <c r="E5" s="84"/>
      <c r="F5" s="84"/>
    </row>
    <row r="6" spans="1:15">
      <c r="A6" s="77" t="s">
        <v>74</v>
      </c>
      <c r="B6" s="79">
        <f>F17</f>
        <v>200</v>
      </c>
      <c r="C6" s="82"/>
      <c r="D6" s="83"/>
      <c r="E6" s="83"/>
      <c r="F6" s="83"/>
    </row>
    <row r="7" spans="1:15" ht="13.5" customHeight="1">
      <c r="A7" s="71"/>
      <c r="B7" s="72"/>
      <c r="C7" s="72"/>
      <c r="D7" s="83"/>
      <c r="E7" s="83"/>
      <c r="F7" s="83"/>
    </row>
    <row r="8" spans="1:15" ht="27.4" customHeight="1">
      <c r="A8" s="127" t="s">
        <v>75</v>
      </c>
      <c r="B8" s="127"/>
      <c r="C8" s="127"/>
      <c r="D8" s="127"/>
      <c r="E8" s="127"/>
      <c r="F8" s="127"/>
    </row>
    <row r="9" spans="1:15" ht="13.5" customHeight="1" thickBot="1">
      <c r="A9" s="80" t="s">
        <v>76</v>
      </c>
      <c r="B9" s="124" t="s">
        <v>77</v>
      </c>
      <c r="C9" s="125"/>
      <c r="D9" s="124" t="s">
        <v>78</v>
      </c>
      <c r="E9" s="125"/>
      <c r="F9" s="81" t="s">
        <v>79</v>
      </c>
    </row>
    <row r="10" spans="1:15">
      <c r="A10" s="76">
        <v>46113</v>
      </c>
      <c r="B10" s="126" t="s">
        <v>80</v>
      </c>
      <c r="C10" s="126"/>
      <c r="D10" s="126" t="s">
        <v>81</v>
      </c>
      <c r="E10" s="126"/>
      <c r="F10" s="75">
        <v>200</v>
      </c>
      <c r="G10" s="122" t="s">
        <v>82</v>
      </c>
      <c r="H10" s="123"/>
      <c r="I10" s="123"/>
      <c r="J10" s="123"/>
      <c r="K10" s="123"/>
      <c r="L10" s="123"/>
      <c r="M10" s="123"/>
      <c r="N10" s="123"/>
      <c r="O10" s="123"/>
    </row>
    <row r="11" spans="1:15">
      <c r="A11" s="76">
        <v>46113</v>
      </c>
      <c r="B11" s="128" t="s">
        <v>83</v>
      </c>
      <c r="C11" s="129"/>
      <c r="D11" s="126" t="s">
        <v>84</v>
      </c>
      <c r="E11" s="126"/>
      <c r="F11" s="75"/>
    </row>
    <row r="12" spans="1:15">
      <c r="A12" s="76">
        <v>46113</v>
      </c>
      <c r="B12" s="128" t="s">
        <v>85</v>
      </c>
      <c r="C12" s="129"/>
      <c r="D12" s="126"/>
      <c r="E12" s="126"/>
      <c r="F12" s="75"/>
    </row>
    <row r="13" spans="1:15">
      <c r="A13" s="76">
        <v>46113</v>
      </c>
      <c r="B13" s="128"/>
      <c r="C13" s="129"/>
      <c r="D13" s="126"/>
      <c r="E13" s="126"/>
      <c r="F13" s="75"/>
    </row>
    <row r="14" spans="1:15">
      <c r="A14" s="76">
        <v>46113</v>
      </c>
      <c r="B14" s="128"/>
      <c r="C14" s="129"/>
      <c r="D14" s="126"/>
      <c r="E14" s="126"/>
      <c r="F14" s="75"/>
    </row>
    <row r="15" spans="1:15">
      <c r="A15" s="76">
        <v>46113</v>
      </c>
      <c r="B15" s="133"/>
      <c r="C15" s="134"/>
      <c r="D15" s="126"/>
      <c r="E15" s="126"/>
      <c r="F15" s="75"/>
    </row>
    <row r="16" spans="1:15" ht="13.15" thickBot="1">
      <c r="A16" s="76">
        <v>46113</v>
      </c>
      <c r="B16" s="128"/>
      <c r="C16" s="129"/>
      <c r="D16" s="126"/>
      <c r="E16" s="126"/>
      <c r="F16" s="75"/>
    </row>
    <row r="17" spans="1:6" ht="13.5" customHeight="1" thickBot="1">
      <c r="A17" s="130" t="s">
        <v>86</v>
      </c>
      <c r="B17" s="131"/>
      <c r="C17" s="131"/>
      <c r="D17" s="131"/>
      <c r="E17" s="132"/>
      <c r="F17" s="74">
        <f>SUM(F10:F16)</f>
        <v>200</v>
      </c>
    </row>
    <row r="18" spans="1:6">
      <c r="A18" s="71"/>
      <c r="B18" s="72"/>
      <c r="C18" s="72"/>
      <c r="D18" s="72"/>
      <c r="E18" s="73"/>
      <c r="F18" s="73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K21" sqref="K21"/>
    </sheetView>
  </sheetViews>
  <sheetFormatPr defaultColWidth="8.75" defaultRowHeight="12.6"/>
  <cols>
    <col min="1" max="1" width="15.5" style="23" bestFit="1" customWidth="1"/>
    <col min="2" max="2" width="14.5" style="23" customWidth="1"/>
    <col min="3" max="3" width="9.75" style="23" customWidth="1"/>
    <col min="4" max="16384" width="8.75" style="23"/>
  </cols>
  <sheetData>
    <row r="4" spans="1:6">
      <c r="A4" s="135"/>
      <c r="B4" s="135"/>
    </row>
    <row r="5" spans="1:6">
      <c r="A5" s="37" t="s">
        <v>0</v>
      </c>
      <c r="B5" s="23" t="s">
        <v>1</v>
      </c>
    </row>
    <row r="6" spans="1:6">
      <c r="A6" s="77" t="s">
        <v>87</v>
      </c>
      <c r="B6" s="77" t="s">
        <v>88</v>
      </c>
    </row>
    <row r="7" spans="1:6">
      <c r="A7" s="93" t="s">
        <v>89</v>
      </c>
      <c r="B7" s="93" t="s">
        <v>90</v>
      </c>
    </row>
    <row r="8" spans="1:6">
      <c r="A8" s="94"/>
      <c r="B8" s="83"/>
    </row>
    <row r="9" spans="1:6" ht="27.4" customHeight="1">
      <c r="A9" s="150" t="s">
        <v>91</v>
      </c>
      <c r="B9" s="150"/>
      <c r="C9" s="150"/>
      <c r="D9" s="150"/>
      <c r="E9" s="150"/>
      <c r="F9" s="150"/>
    </row>
    <row r="10" spans="1:6" ht="25.15">
      <c r="A10" s="85" t="s">
        <v>92</v>
      </c>
      <c r="B10" s="85" t="s">
        <v>93</v>
      </c>
      <c r="C10" s="85" t="s">
        <v>94</v>
      </c>
      <c r="D10" s="85" t="s">
        <v>95</v>
      </c>
      <c r="E10" s="85" t="s">
        <v>96</v>
      </c>
      <c r="F10" s="85" t="s">
        <v>97</v>
      </c>
    </row>
    <row r="11" spans="1:6">
      <c r="A11" s="85" t="s">
        <v>41</v>
      </c>
      <c r="B11" s="115">
        <v>46162</v>
      </c>
      <c r="C11" s="115">
        <v>46163</v>
      </c>
      <c r="D11" s="85">
        <v>1</v>
      </c>
      <c r="E11" s="85"/>
      <c r="F11" s="85" t="s">
        <v>98</v>
      </c>
    </row>
    <row r="12" spans="1:6">
      <c r="A12" s="85"/>
      <c r="B12" s="85"/>
      <c r="C12" s="85"/>
      <c r="D12" s="85"/>
      <c r="E12" s="85"/>
      <c r="F12" s="85"/>
    </row>
    <row r="13" spans="1:6" ht="13.15" thickBot="1">
      <c r="A13" s="85"/>
      <c r="B13" s="85"/>
      <c r="C13" s="85"/>
      <c r="D13" s="85"/>
      <c r="E13" s="85"/>
      <c r="F13" s="85"/>
    </row>
    <row r="14" spans="1:6" ht="13.15" thickBot="1">
      <c r="A14" s="86"/>
      <c r="B14" s="87"/>
      <c r="C14" s="87"/>
      <c r="D14" s="88">
        <f>SUM(D11:D13)</f>
        <v>1</v>
      </c>
      <c r="E14" s="87"/>
      <c r="F14" s="89"/>
    </row>
    <row r="15" spans="1:6" ht="13.15" thickBot="1">
      <c r="A15" s="140"/>
      <c r="B15" s="141"/>
      <c r="C15" s="141"/>
      <c r="D15" s="141"/>
      <c r="E15" s="141"/>
      <c r="F15" s="141"/>
    </row>
    <row r="16" spans="1:6">
      <c r="A16" s="151" t="s">
        <v>99</v>
      </c>
      <c r="B16" s="152"/>
      <c r="C16" s="152"/>
      <c r="D16" s="152"/>
      <c r="E16" s="152"/>
      <c r="F16" s="153"/>
    </row>
    <row r="17" spans="1:6">
      <c r="A17" s="136" t="s">
        <v>100</v>
      </c>
      <c r="B17" s="137"/>
      <c r="C17" s="137"/>
      <c r="D17" s="137"/>
      <c r="E17" s="137"/>
      <c r="F17" s="138"/>
    </row>
    <row r="18" spans="1:6">
      <c r="A18" s="139"/>
      <c r="B18" s="137"/>
      <c r="C18" s="137"/>
      <c r="D18" s="137"/>
      <c r="E18" s="137"/>
      <c r="F18" s="138"/>
    </row>
    <row r="19" spans="1:6" ht="13.15" thickBot="1">
      <c r="A19" s="140"/>
      <c r="B19" s="141"/>
      <c r="C19" s="141"/>
      <c r="D19" s="141"/>
      <c r="E19" s="141"/>
      <c r="F19" s="142"/>
    </row>
    <row r="20" spans="1:6" ht="13.15" thickBot="1"/>
    <row r="21" spans="1:6">
      <c r="A21" s="90" t="s">
        <v>3</v>
      </c>
      <c r="B21" s="143">
        <v>46153</v>
      </c>
      <c r="C21" s="144"/>
      <c r="D21" s="144"/>
      <c r="E21" s="144"/>
      <c r="F21" s="145"/>
    </row>
    <row r="22" spans="1:6">
      <c r="A22" s="91" t="s">
        <v>101</v>
      </c>
      <c r="B22" s="146" t="s">
        <v>102</v>
      </c>
      <c r="C22" s="146"/>
      <c r="D22" s="146"/>
      <c r="E22" s="146"/>
      <c r="F22" s="147"/>
    </row>
    <row r="23" spans="1:6" ht="13.15" thickBot="1">
      <c r="A23" s="92" t="s">
        <v>103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hyperlinks>
    <hyperlink ref="A17" r:id="rId1" xr:uid="{12B02049-DC18-44E1-B6EA-9DCF3FEDB935}"/>
  </hyperlinks>
  <pageMargins left="0.7" right="0.7" top="0.75" bottom="0.75" header="0.3" footer="0.3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5" sqref="H65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4" t="s">
        <v>14</v>
      </c>
      <c r="D2" s="53" t="s">
        <v>104</v>
      </c>
      <c r="F2" s="52" t="s">
        <v>7</v>
      </c>
      <c r="H2" s="52" t="s">
        <v>105</v>
      </c>
      <c r="J2" s="53" t="s">
        <v>68</v>
      </c>
    </row>
    <row r="3" spans="2:10">
      <c r="B3" s="64" t="s">
        <v>106</v>
      </c>
      <c r="D3" s="69" t="s">
        <v>107</v>
      </c>
      <c r="F3" s="55" t="s">
        <v>67</v>
      </c>
      <c r="H3" s="66" t="s">
        <v>108</v>
      </c>
      <c r="I3" s="97"/>
      <c r="J3" s="56" t="s">
        <v>16</v>
      </c>
    </row>
    <row r="4" spans="2:10">
      <c r="B4" s="64" t="s">
        <v>109</v>
      </c>
      <c r="D4" s="54" t="s">
        <v>110</v>
      </c>
      <c r="F4" s="57" t="s">
        <v>111</v>
      </c>
      <c r="H4" s="99" t="s">
        <v>112</v>
      </c>
      <c r="I4" s="66"/>
      <c r="J4" s="58" t="s">
        <v>68</v>
      </c>
    </row>
    <row r="5" spans="2:10">
      <c r="B5" s="64" t="s">
        <v>113</v>
      </c>
      <c r="D5" s="69" t="s">
        <v>114</v>
      </c>
      <c r="F5" s="59" t="s">
        <v>115</v>
      </c>
      <c r="H5" s="66" t="s">
        <v>116</v>
      </c>
      <c r="I5" s="98"/>
    </row>
    <row r="6" spans="2:10">
      <c r="B6" s="64" t="s">
        <v>117</v>
      </c>
      <c r="D6" s="54" t="s">
        <v>118</v>
      </c>
      <c r="F6" s="57" t="s">
        <v>119</v>
      </c>
      <c r="H6" s="97" t="s">
        <v>120</v>
      </c>
      <c r="I6" s="99"/>
    </row>
    <row r="7" spans="2:10">
      <c r="B7" s="64" t="s">
        <v>121</v>
      </c>
      <c r="D7" s="69" t="s">
        <v>122</v>
      </c>
      <c r="F7" s="59" t="s">
        <v>21</v>
      </c>
      <c r="H7" s="65" t="s">
        <v>123</v>
      </c>
      <c r="I7" s="100"/>
    </row>
    <row r="8" spans="2:10">
      <c r="B8" s="64" t="s">
        <v>124</v>
      </c>
      <c r="D8" s="54" t="s">
        <v>125</v>
      </c>
      <c r="F8" s="57" t="s">
        <v>126</v>
      </c>
      <c r="H8" s="100" t="s">
        <v>127</v>
      </c>
      <c r="I8" s="97"/>
      <c r="J8" s="52" t="s">
        <v>128</v>
      </c>
    </row>
    <row r="9" spans="2:10">
      <c r="B9" s="64" t="s">
        <v>129</v>
      </c>
      <c r="D9" s="69" t="s">
        <v>130</v>
      </c>
      <c r="F9" s="59" t="s">
        <v>131</v>
      </c>
      <c r="H9" s="101" t="s">
        <v>132</v>
      </c>
      <c r="I9" s="97"/>
      <c r="J9" s="52" t="s">
        <v>81</v>
      </c>
    </row>
    <row r="10" spans="2:10">
      <c r="B10" s="64" t="s">
        <v>133</v>
      </c>
      <c r="D10" s="54" t="s">
        <v>134</v>
      </c>
      <c r="F10" s="57" t="s">
        <v>135</v>
      </c>
      <c r="H10" s="105" t="s">
        <v>136</v>
      </c>
      <c r="I10" s="100"/>
    </row>
    <row r="11" spans="2:10">
      <c r="B11" s="64" t="s">
        <v>137</v>
      </c>
      <c r="D11" s="69" t="s">
        <v>138</v>
      </c>
      <c r="F11" s="59" t="s">
        <v>139</v>
      </c>
      <c r="H11" s="101" t="s">
        <v>140</v>
      </c>
      <c r="I11" s="100"/>
      <c r="J11" s="52" t="s">
        <v>141</v>
      </c>
    </row>
    <row r="12" spans="2:10">
      <c r="B12" s="64" t="s">
        <v>142</v>
      </c>
      <c r="F12" s="57" t="s">
        <v>143</v>
      </c>
      <c r="H12" s="105" t="s">
        <v>144</v>
      </c>
      <c r="I12" s="101"/>
      <c r="J12" s="52" t="s">
        <v>145</v>
      </c>
    </row>
    <row r="13" spans="2:10">
      <c r="B13" s="64" t="s">
        <v>146</v>
      </c>
      <c r="F13" s="59" t="s">
        <v>147</v>
      </c>
      <c r="H13" s="102" t="s">
        <v>148</v>
      </c>
      <c r="I13" s="101"/>
    </row>
    <row r="14" spans="2:10">
      <c r="B14" s="64" t="s">
        <v>149</v>
      </c>
      <c r="D14" s="60"/>
      <c r="F14" s="57" t="s">
        <v>150</v>
      </c>
      <c r="H14" s="103" t="s">
        <v>151</v>
      </c>
      <c r="I14" s="102"/>
    </row>
    <row r="15" spans="2:10">
      <c r="B15" s="64" t="s">
        <v>152</v>
      </c>
      <c r="D15" s="61"/>
      <c r="F15" s="59" t="s">
        <v>153</v>
      </c>
      <c r="H15" s="101" t="s">
        <v>154</v>
      </c>
      <c r="I15" s="101"/>
    </row>
    <row r="16" spans="2:10">
      <c r="B16" s="64" t="s">
        <v>155</v>
      </c>
      <c r="D16" s="61"/>
      <c r="F16" s="57" t="s">
        <v>156</v>
      </c>
      <c r="H16" s="102" t="s">
        <v>157</v>
      </c>
      <c r="I16" s="103"/>
    </row>
    <row r="17" spans="2:9">
      <c r="B17" s="64" t="s">
        <v>158</v>
      </c>
      <c r="D17" s="61"/>
      <c r="F17" s="59" t="s">
        <v>159</v>
      </c>
      <c r="H17" s="65" t="s">
        <v>160</v>
      </c>
      <c r="I17" s="101"/>
    </row>
    <row r="18" spans="2:9">
      <c r="B18" s="64" t="s">
        <v>161</v>
      </c>
      <c r="D18" s="61"/>
      <c r="F18" s="57" t="s">
        <v>162</v>
      </c>
      <c r="H18" s="106" t="s">
        <v>163</v>
      </c>
      <c r="I18" s="103"/>
    </row>
    <row r="19" spans="2:9">
      <c r="B19" s="64" t="s">
        <v>164</v>
      </c>
      <c r="D19" s="61"/>
      <c r="F19" s="59" t="s">
        <v>26</v>
      </c>
      <c r="H19" s="68" t="s">
        <v>165</v>
      </c>
      <c r="I19" s="104"/>
    </row>
    <row r="20" spans="2:9">
      <c r="B20" s="64" t="s">
        <v>166</v>
      </c>
      <c r="D20" s="61"/>
      <c r="F20" s="57" t="s">
        <v>167</v>
      </c>
      <c r="H20" s="68" t="s">
        <v>168</v>
      </c>
      <c r="I20" s="102"/>
    </row>
    <row r="21" spans="2:9">
      <c r="B21" s="64" t="s">
        <v>169</v>
      </c>
      <c r="D21" s="61"/>
      <c r="F21" s="59" t="s">
        <v>170</v>
      </c>
      <c r="H21" s="110" t="s">
        <v>171</v>
      </c>
      <c r="I21" s="100"/>
    </row>
    <row r="22" spans="2:9" ht="27.6">
      <c r="B22" s="64" t="s">
        <v>172</v>
      </c>
      <c r="D22" s="61"/>
      <c r="F22" s="57" t="s">
        <v>173</v>
      </c>
      <c r="H22" s="116" t="s">
        <v>174</v>
      </c>
      <c r="I22" s="105"/>
    </row>
    <row r="23" spans="2:9">
      <c r="B23" s="64" t="s">
        <v>175</v>
      </c>
      <c r="D23" s="61"/>
      <c r="F23" s="59" t="s">
        <v>176</v>
      </c>
      <c r="H23" s="108" t="s">
        <v>66</v>
      </c>
      <c r="I23" s="106"/>
    </row>
    <row r="24" spans="2:9">
      <c r="B24" s="64" t="s">
        <v>177</v>
      </c>
      <c r="D24" s="61"/>
      <c r="F24" s="57" t="s">
        <v>178</v>
      </c>
      <c r="H24" s="68" t="s">
        <v>179</v>
      </c>
      <c r="I24" s="107"/>
    </row>
    <row r="25" spans="2:9">
      <c r="B25" s="64" t="s">
        <v>180</v>
      </c>
      <c r="D25" s="61"/>
      <c r="F25" s="59" t="s">
        <v>181</v>
      </c>
      <c r="H25" s="110" t="s">
        <v>182</v>
      </c>
      <c r="I25" s="108"/>
    </row>
    <row r="26" spans="2:9">
      <c r="B26" s="64" t="s">
        <v>183</v>
      </c>
      <c r="F26" s="57" t="s">
        <v>184</v>
      </c>
      <c r="H26" s="68" t="s">
        <v>185</v>
      </c>
    </row>
    <row r="27" spans="2:9">
      <c r="B27" s="64" t="s">
        <v>186</v>
      </c>
      <c r="D27" s="61"/>
      <c r="F27" s="59" t="s">
        <v>187</v>
      </c>
      <c r="H27" s="107" t="s">
        <v>188</v>
      </c>
      <c r="I27" s="106"/>
    </row>
    <row r="28" spans="2:9">
      <c r="B28" s="64" t="s">
        <v>189</v>
      </c>
      <c r="D28" s="61"/>
      <c r="F28" s="57" t="s">
        <v>190</v>
      </c>
      <c r="H28" s="110" t="s">
        <v>191</v>
      </c>
      <c r="I28" s="68"/>
    </row>
    <row r="29" spans="2:9">
      <c r="B29" s="64" t="s">
        <v>192</v>
      </c>
      <c r="F29" s="59" t="s">
        <v>193</v>
      </c>
      <c r="H29" s="108" t="s">
        <v>194</v>
      </c>
      <c r="I29" s="109"/>
    </row>
    <row r="30" spans="2:9">
      <c r="B30" s="64" t="s">
        <v>195</v>
      </c>
      <c r="F30" s="57" t="s">
        <v>196</v>
      </c>
      <c r="H30" s="67" t="s">
        <v>197</v>
      </c>
      <c r="I30" s="107"/>
    </row>
    <row r="31" spans="2:9">
      <c r="B31" s="64" t="s">
        <v>198</v>
      </c>
      <c r="F31" s="59" t="s">
        <v>199</v>
      </c>
      <c r="H31" s="67" t="s">
        <v>200</v>
      </c>
    </row>
    <row r="32" spans="2:9">
      <c r="B32" s="64" t="s">
        <v>201</v>
      </c>
      <c r="F32" s="57" t="s">
        <v>202</v>
      </c>
      <c r="H32" s="109" t="s">
        <v>203</v>
      </c>
      <c r="I32" s="108"/>
    </row>
    <row r="33" spans="2:9">
      <c r="B33" s="64" t="s">
        <v>204</v>
      </c>
      <c r="F33" s="59" t="s">
        <v>41</v>
      </c>
      <c r="H33" s="117" t="s">
        <v>205</v>
      </c>
      <c r="I33" s="108"/>
    </row>
    <row r="34" spans="2:9">
      <c r="B34" s="64" t="s">
        <v>206</v>
      </c>
      <c r="F34" s="57" t="s">
        <v>207</v>
      </c>
      <c r="H34" s="107" t="s">
        <v>1</v>
      </c>
      <c r="I34" s="67"/>
    </row>
    <row r="35" spans="2:9">
      <c r="B35" s="64" t="s">
        <v>208</v>
      </c>
      <c r="F35" s="59" t="s">
        <v>209</v>
      </c>
      <c r="H35" s="112" t="s">
        <v>210</v>
      </c>
      <c r="I35" s="107"/>
    </row>
    <row r="36" spans="2:9">
      <c r="B36" s="64" t="s">
        <v>211</v>
      </c>
      <c r="F36" s="57" t="s">
        <v>212</v>
      </c>
      <c r="H36" s="109" t="s">
        <v>213</v>
      </c>
      <c r="I36" s="100"/>
    </row>
    <row r="37" spans="2:9">
      <c r="B37" s="64" t="s">
        <v>214</v>
      </c>
      <c r="F37" s="57" t="s">
        <v>215</v>
      </c>
      <c r="H37" s="110" t="s">
        <v>216</v>
      </c>
      <c r="I37" s="108"/>
    </row>
    <row r="38" spans="2:9">
      <c r="B38" s="64" t="s">
        <v>217</v>
      </c>
      <c r="F38" s="57" t="s">
        <v>15</v>
      </c>
      <c r="H38" s="107" t="s">
        <v>218</v>
      </c>
      <c r="I38" s="107"/>
    </row>
    <row r="39" spans="2:9" ht="27.6">
      <c r="B39" s="64" t="s">
        <v>219</v>
      </c>
      <c r="F39" s="57" t="s">
        <v>220</v>
      </c>
      <c r="H39" s="107" t="s">
        <v>221</v>
      </c>
      <c r="I39" s="109"/>
    </row>
    <row r="40" spans="2:9">
      <c r="B40" s="64" t="s">
        <v>222</v>
      </c>
      <c r="F40" s="59" t="s">
        <v>223</v>
      </c>
      <c r="H40" s="67" t="s">
        <v>224</v>
      </c>
      <c r="I40" s="110"/>
    </row>
    <row r="41" spans="2:9">
      <c r="B41" s="64" t="s">
        <v>225</v>
      </c>
      <c r="D41" s="63"/>
      <c r="H41" s="109" t="s">
        <v>226</v>
      </c>
      <c r="I41" s="110"/>
    </row>
    <row r="42" spans="2:9">
      <c r="B42" s="64" t="s">
        <v>227</v>
      </c>
      <c r="H42" s="110" t="s">
        <v>228</v>
      </c>
      <c r="I42" s="107"/>
    </row>
    <row r="43" spans="2:9">
      <c r="B43" s="64" t="s">
        <v>229</v>
      </c>
      <c r="H43" s="107" t="s">
        <v>230</v>
      </c>
      <c r="I43" s="109"/>
    </row>
    <row r="44" spans="2:9">
      <c r="B44" s="119" t="s">
        <v>231</v>
      </c>
      <c r="H44" s="109" t="s">
        <v>232</v>
      </c>
    </row>
    <row r="45" spans="2:9">
      <c r="H45" s="110" t="s">
        <v>233</v>
      </c>
      <c r="I45" s="108"/>
    </row>
    <row r="46" spans="2:9">
      <c r="H46" s="68" t="s">
        <v>234</v>
      </c>
      <c r="I46" s="111"/>
    </row>
    <row r="47" spans="2:9">
      <c r="B47" s="62"/>
      <c r="H47" s="110" t="s">
        <v>235</v>
      </c>
      <c r="I47" s="110"/>
    </row>
    <row r="48" spans="2:9">
      <c r="H48" s="68" t="s">
        <v>236</v>
      </c>
      <c r="I48" s="110"/>
    </row>
    <row r="49" spans="8:9">
      <c r="H49" s="107" t="s">
        <v>237</v>
      </c>
      <c r="I49" s="110"/>
    </row>
    <row r="50" spans="8:9">
      <c r="H50" s="68" t="s">
        <v>238</v>
      </c>
      <c r="I50" s="110"/>
    </row>
    <row r="51" spans="8:9">
      <c r="H51" s="67" t="s">
        <v>239</v>
      </c>
      <c r="I51" s="110"/>
    </row>
    <row r="52" spans="8:9">
      <c r="H52" s="110" t="s">
        <v>240</v>
      </c>
    </row>
    <row r="53" spans="8:9">
      <c r="H53" s="107" t="s">
        <v>241</v>
      </c>
      <c r="I53" s="110"/>
    </row>
    <row r="54" spans="8:9">
      <c r="H54" s="67" t="s">
        <v>242</v>
      </c>
      <c r="I54" s="109"/>
    </row>
    <row r="55" spans="8:9">
      <c r="H55" s="68" t="s">
        <v>243</v>
      </c>
      <c r="I55" s="109"/>
    </row>
    <row r="56" spans="8:9">
      <c r="H56" s="107" t="s">
        <v>244</v>
      </c>
      <c r="I56" s="68"/>
    </row>
    <row r="57" spans="8:9">
      <c r="H57" s="68" t="s">
        <v>245</v>
      </c>
      <c r="I57" s="110"/>
    </row>
    <row r="58" spans="8:9">
      <c r="H58" s="68" t="s">
        <v>246</v>
      </c>
      <c r="I58" s="110"/>
    </row>
    <row r="59" spans="8:9">
      <c r="H59" s="110" t="s">
        <v>247</v>
      </c>
      <c r="I59" s="113"/>
    </row>
    <row r="60" spans="8:9">
      <c r="H60" s="113" t="s">
        <v>248</v>
      </c>
      <c r="I60" s="67"/>
    </row>
    <row r="61" spans="8:9">
      <c r="H61" s="67" t="s">
        <v>249</v>
      </c>
      <c r="I61" s="108"/>
    </row>
    <row r="62" spans="8:9">
      <c r="H62" s="67" t="s">
        <v>250</v>
      </c>
      <c r="I62" s="67"/>
    </row>
    <row r="63" spans="8:9">
      <c r="H63" s="108" t="s">
        <v>251</v>
      </c>
    </row>
    <row r="64" spans="8:9">
      <c r="H64" s="118" t="s">
        <v>252</v>
      </c>
    </row>
    <row r="65" spans="8:8">
      <c r="H65" s="109"/>
    </row>
    <row r="66" spans="8:8">
      <c r="H66" s="107"/>
    </row>
    <row r="67" spans="8:8">
      <c r="H67" s="110"/>
    </row>
    <row r="68" spans="8:8">
      <c r="H68" s="100"/>
    </row>
    <row r="69" spans="8:8">
      <c r="H69" s="110"/>
    </row>
    <row r="70" spans="8:8">
      <c r="H70" s="68"/>
    </row>
    <row r="71" spans="8:8">
      <c r="H71" s="107"/>
    </row>
    <row r="72" spans="8:8">
      <c r="H72" s="109"/>
    </row>
    <row r="73" spans="8:8">
      <c r="H73" s="98"/>
    </row>
    <row r="74" spans="8:8">
      <c r="H74" s="105"/>
    </row>
    <row r="75" spans="8:8">
      <c r="H75" s="114"/>
    </row>
    <row r="76" spans="8:8">
      <c r="H76" s="114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CB3A2F-2C86-4C8D-B7EA-4B3F9EF9489F}"/>
</file>

<file path=customXml/itemProps2.xml><?xml version="1.0" encoding="utf-8"?>
<ds:datastoreItem xmlns:ds="http://schemas.openxmlformats.org/officeDocument/2006/customXml" ds:itemID="{B705FE34-D5A2-4BFE-9004-2E123A88A3A8}"/>
</file>

<file path=customXml/itemProps3.xml><?xml version="1.0" encoding="utf-8"?>
<ds:datastoreItem xmlns:ds="http://schemas.openxmlformats.org/officeDocument/2006/customXml" ds:itemID="{56CB4979-3D03-41A9-B345-AA2921FBC33F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Kayden Padayachee</cp:lastModifiedBy>
  <cp:revision/>
  <dcterms:created xsi:type="dcterms:W3CDTF">2020-04-02T09:04:10Z</dcterms:created>
  <dcterms:modified xsi:type="dcterms:W3CDTF">2026-06-17T12:39:54Z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