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Teolan\"/>
    </mc:Choice>
  </mc:AlternateContent>
  <xr:revisionPtr revIDLastSave="0" documentId="13_ncr:1_{CF22ED24-C516-4DD4-A943-FBAB4E2E88E5}" xr6:coauthVersionLast="47" xr6:coauthVersionMax="47" xr10:uidLastSave="{00000000-0000-0000-0000-000000000000}"/>
  <bookViews>
    <workbookView xWindow="-120" yWindow="-120" windowWidth="29040" windowHeight="15720" activeTab="3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2" i="1" l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4" i="10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44" i="3"/>
  <c r="F43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31" i="3"/>
  <c r="F149" i="10" l="1"/>
  <c r="F150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124" i="1"/>
  <c r="B6" i="1"/>
</calcChain>
</file>

<file path=xl/sharedStrings.xml><?xml version="1.0" encoding="utf-8"?>
<sst xmlns="http://schemas.openxmlformats.org/spreadsheetml/2006/main" count="1699" uniqueCount="274">
  <si>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</si>
  <si>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</si>
  <si>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</si>
  <si>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</si>
  <si>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</si>
  <si>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</si>
  <si>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</si>
  <si>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</si>
  <si>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</si>
  <si>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</si>
  <si>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</si>
  <si>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</si>
  <si>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</si>
  <si>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</si>
  <si>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</si>
  <si>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</si>
  <si>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</si>
  <si>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</si>
  <si>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</si>
  <si>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</si>
  <si>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</si>
  <si>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</si>
  <si>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</si>
  <si>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</si>
  <si>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</si>
  <si>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</si>
  <si>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</si>
  <si>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</si>
  <si>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</si>
  <si>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</si>
  <si>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</si>
  <si>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</si>
  <si>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</si>
  <si>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</si>
  <si>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</si>
  <si>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</si>
  <si>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</si>
  <si>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</si>
  <si>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</si>
  <si>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</si>
  <si>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</si>
  <si>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</si>
  <si>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</si>
  <si>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</si>
  <si>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</si>
  <si>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</si>
  <si>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</si>
  <si>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</si>
  <si>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</si>
  <si>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</si>
  <si>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</si>
  <si>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</si>
  <si>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</si>
  <si>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</si>
  <si>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</si>
  <si>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</si>
  <si>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</si>
  <si>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</si>
  <si>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</si>
  <si>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</si>
  <si>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</si>
  <si>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</si>
  <si>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</si>
  <si>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</si>
  <si>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</si>
  <si>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</si>
  <si>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</si>
  <si>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</si>
  <si>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</si>
  <si>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</si>
  <si>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</si>
  <si>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</si>
  <si>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</si>
  <si>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</si>
  <si>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</si>
  <si>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</si>
  <si>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</si>
  <si>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</si>
  <si>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</si>
  <si>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</si>
  <si>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</si>
  <si>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</si>
  <si>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</si>
  <si>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</si>
  <si>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</si>
  <si>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</si>
  <si>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</si>
  <si>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</si>
  <si>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</si>
  <si>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</si>
  <si>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</si>
  <si>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</si>
  <si>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</si>
  <si>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</si>
  <si>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</si>
  <si>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</si>
  <si>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</si>
  <si>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</si>
  <si>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</si>
  <si>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</si>
  <si>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</si>
  <si>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</si>
  <si>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</si>
  <si>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</si>
  <si>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</si>
  <si>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</si>
  <si>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</si>
  <si>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</si>
  <si>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</si>
  <si>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</si>
  <si>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</si>
  <si>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</si>
  <si>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</si>
  <si>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</si>
  <si>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</si>
  <si>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</si>
  <si>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</si>
  <si>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</si>
  <si>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</si>
  <si>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</si>
  <si>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</si>
  <si>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</si>
  <si>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</si>
  <si>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</si>
  <si>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</si>
  <si>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</si>
  <si>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</si>
  <si>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</si>
  <si>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</si>
  <si>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</si>
  <si>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</si>
  <si>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</si>
  <si>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</si>
  <si>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</si>
  <si>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</si>
  <si>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</si>
  <si>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</si>
  <si>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</si>
  <si>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</si>
  <si>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</si>
  <si>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</si>
  <si>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</si>
  <si>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</si>
  <si>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</si>
  <si>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</si>
  <si>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</si>
  <si>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</si>
  <si>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</si>
  <si>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</si>
  <si>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</si>
  <si>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</si>
  <si>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</si>
  <si>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</si>
  <si>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</si>
  <si>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</si>
  <si>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</si>
  <si>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</si>
  <si>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</si>
  <si>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</si>
  <si>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</si>
  <si>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</si>
  <si>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</si>
  <si>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</si>
  <si>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</si>
  <si>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</si>
  <si>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</si>
  <si>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</si>
  <si>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</si>
  <si>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</si>
  <si>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</si>
  <si>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</si>
  <si>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</si>
  <si>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</si>
  <si>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</si>
  <si>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</si>
  <si>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</si>
  <si>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</si>
  <si>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</si>
  <si>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</si>
  <si>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</si>
  <si>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</si>
  <si>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</si>
  <si>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</si>
  <si>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</si>
  <si>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</si>
  <si>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</si>
  <si>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</si>
  <si>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</si>
  <si>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</si>
  <si>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</si>
  <si>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</si>
  <si>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</si>
  <si>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</si>
  <si>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</si>
  <si>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</si>
  <si>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</si>
  <si>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</si>
  <si>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</si>
  <si>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</si>
  <si>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</si>
  <si>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</si>
  <si>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</si>
  <si>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</si>
  <si>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</si>
  <si>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</si>
  <si>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</si>
  <si>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</si>
  <si>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</si>
  <si>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</si>
  <si>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</si>
  <si>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</si>
  <si>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</si>
  <si>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</si>
  <si>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</si>
  <si>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</si>
  <si>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</si>
  <si>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</si>
  <si>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</si>
  <si>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</si>
  <si>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</si>
  <si>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</si>
  <si>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</si>
  <si>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</si>
  <si>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</si>
  <si>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</si>
  <si>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</si>
  <si>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</si>
  <si>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</si>
  <si>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</si>
  <si>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</si>
  <si>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</si>
  <si>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</si>
  <si>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</si>
  <si>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</si>
  <si>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</si>
  <si>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</si>
  <si>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</si>
  <si>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</si>
  <si>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</si>
  <si>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</si>
  <si>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</si>
  <si>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</si>
  <si>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</si>
  <si>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</si>
  <si>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</si>
  <si>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</si>
  <si>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</si>
  <si>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</si>
  <si>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</si>
  <si>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</si>
  <si>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</si>
  <si>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</si>
  <si>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</si>
  <si>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</si>
  <si>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</si>
  <si>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</si>
  <si>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</si>
  <si>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</si>
  <si>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</si>
  <si>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</si>
  <si>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</si>
  <si>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</si>
  <si>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</si>
  <si>
    <t>Met with team to discuss Project</t>
  </si>
  <si>
    <t>Discovery Induction</t>
  </si>
  <si>
    <t>Started work on SSIS course</t>
  </si>
  <si>
    <t>Continued work SSIS course</t>
  </si>
  <si>
    <t>Continued work on SSIS course</t>
  </si>
  <si>
    <t>Met with the team to discuss our dashboard presentations</t>
  </si>
  <si>
    <t>Worked on Dashboard</t>
  </si>
  <si>
    <t>Started work on T-SQL course</t>
  </si>
  <si>
    <t>Continued work on T-SQL course</t>
  </si>
  <si>
    <t>Joined Dashboard Presentation meeting with Shaila and Bhavesh</t>
  </si>
  <si>
    <t>Joined 2nd Dashboard Presentation meeting with Shaila and Bhavesh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</si>
</sst>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view="pageBreakPreview" topLeftCell="A124" zoomScaleNormal="75" zoomScaleSheetLayoutView="100" workbookViewId="0">
      <selection activeCell="G136" sqref="G1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25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25">
      <c r="A147" s="128" t="s">
        <v>23</v>
      </c>
      <c r="B147" s="128"/>
      <c r="C147" s="128"/>
      <c r="D147" s="12"/>
      <c r="E147" s="2"/>
      <c r="F147" s="2"/>
      <c r="H147" s="40"/>
    </row>
    <row r="148" spans="1:8" ht="14.25" x14ac:dyDescent="0.2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25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5" thickBot="1" x14ac:dyDescent="0.25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5" thickBot="1" x14ac:dyDescent="0.25">
      <c r="A151" s="2"/>
      <c r="B151" s="2"/>
      <c r="C151" s="2"/>
      <c r="D151" s="2"/>
      <c r="E151" s="2"/>
      <c r="F151" s="2"/>
      <c r="H151" s="40"/>
    </row>
    <row r="152" spans="1:8" ht="13.5" thickBot="1" x14ac:dyDescent="0.25">
      <c r="A152" s="2"/>
      <c r="B152" s="2"/>
      <c r="C152" s="2"/>
      <c r="D152" s="2"/>
      <c r="E152" s="20" t="s">
        <v>28</v>
      </c>
      <c r="F152" s="21"/>
      <c r="H152" s="40"/>
    </row>
    <row r="153" spans="1:8" ht="13.5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topLeftCell="A42" zoomScaleNormal="100" workbookViewId="0">
      <selection activeCell="M113" sqref="M113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F122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57</v>
      </c>
      <c r="D12" s="27"/>
      <c r="E12" s="27" t="s">
        <v>64</v>
      </c>
      <c r="F12" s="27" t="s">
        <v>15</v>
      </c>
      <c r="G12" s="28" t="s">
        <v>264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 t="s">
        <v>57</v>
      </c>
      <c r="D13" s="27"/>
      <c r="E13" s="27" t="s">
        <v>64</v>
      </c>
      <c r="F13" s="27" t="s">
        <v>15</v>
      </c>
      <c r="G13" s="28" t="s">
        <v>264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x14ac:dyDescent="0.2">
      <c r="A14" s="22">
        <v>46148</v>
      </c>
      <c r="B14" s="22" t="s">
        <v>19</v>
      </c>
      <c r="C14" s="27" t="s">
        <v>57</v>
      </c>
      <c r="D14" s="27"/>
      <c r="E14" s="27" t="s">
        <v>64</v>
      </c>
      <c r="F14" s="27" t="s">
        <v>15</v>
      </c>
      <c r="G14" s="28" t="s">
        <v>264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x14ac:dyDescent="0.2">
      <c r="A15" s="22">
        <v>46149</v>
      </c>
      <c r="B15" s="22" t="s">
        <v>20</v>
      </c>
      <c r="C15" s="27" t="s">
        <v>57</v>
      </c>
      <c r="D15" s="27"/>
      <c r="E15" s="27" t="s">
        <v>64</v>
      </c>
      <c r="F15" s="27" t="s">
        <v>15</v>
      </c>
      <c r="G15" s="28" t="s">
        <v>264</v>
      </c>
      <c r="H15" s="29">
        <f>J15-I15</f>
        <v>0.29166666666666663</v>
      </c>
      <c r="I15" s="30">
        <v>0.375</v>
      </c>
      <c r="J15" s="30">
        <v>0.66666666666666663</v>
      </c>
    </row>
    <row r="16" spans="1:10" x14ac:dyDescent="0.2">
      <c r="A16" s="22">
        <v>46150</v>
      </c>
      <c r="B16" s="22" t="s">
        <v>11</v>
      </c>
      <c r="C16" s="27" t="s">
        <v>57</v>
      </c>
      <c r="D16" s="27"/>
      <c r="E16" s="27" t="s">
        <v>64</v>
      </c>
      <c r="F16" s="27" t="s">
        <v>15</v>
      </c>
      <c r="G16" s="28" t="s">
        <v>264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 x14ac:dyDescent="0.2">
      <c r="A20" s="22">
        <v>46153</v>
      </c>
      <c r="B20" s="22" t="s">
        <v>17</v>
      </c>
      <c r="C20" s="27" t="s">
        <v>125</v>
      </c>
      <c r="D20" s="27"/>
      <c r="E20" s="27" t="s">
        <v>221</v>
      </c>
      <c r="F20" s="27" t="s">
        <v>15</v>
      </c>
      <c r="G20" s="28" t="s">
        <v>261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 x14ac:dyDescent="0.2">
      <c r="A21" s="22">
        <v>46153</v>
      </c>
      <c r="B21" s="22" t="s">
        <v>17</v>
      </c>
      <c r="C21" s="27" t="s">
        <v>125</v>
      </c>
      <c r="D21" s="27"/>
      <c r="E21" s="27" t="s">
        <v>62</v>
      </c>
      <c r="F21" s="27" t="s">
        <v>15</v>
      </c>
      <c r="G21" s="28" t="s">
        <v>263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 x14ac:dyDescent="0.2">
      <c r="A22" s="22">
        <v>46153</v>
      </c>
      <c r="B22" s="22" t="s">
        <v>17</v>
      </c>
      <c r="C22" s="27" t="s">
        <v>125</v>
      </c>
      <c r="D22" s="27"/>
      <c r="E22" s="27" t="s">
        <v>221</v>
      </c>
      <c r="F22" s="27" t="s">
        <v>15</v>
      </c>
      <c r="G22" s="28" t="s">
        <v>261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 x14ac:dyDescent="0.2">
      <c r="A23" s="22">
        <v>46153</v>
      </c>
      <c r="B23" s="22" t="s">
        <v>17</v>
      </c>
      <c r="C23" s="27" t="s">
        <v>125</v>
      </c>
      <c r="D23" s="27"/>
      <c r="E23" s="27" t="s">
        <v>62</v>
      </c>
      <c r="F23" s="27" t="s">
        <v>15</v>
      </c>
      <c r="G23" s="28" t="s">
        <v>223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 x14ac:dyDescent="0.2">
      <c r="A24" s="22">
        <v>46153</v>
      </c>
      <c r="B24" s="22" t="s">
        <v>17</v>
      </c>
      <c r="C24" s="27" t="s">
        <v>125</v>
      </c>
      <c r="D24" s="27"/>
      <c r="E24" s="27" t="s">
        <v>221</v>
      </c>
      <c r="F24" s="27" t="s">
        <v>15</v>
      </c>
      <c r="G24" s="28" t="s">
        <v>261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 x14ac:dyDescent="0.2">
      <c r="A25" s="22">
        <v>46153</v>
      </c>
      <c r="B25" s="22" t="s">
        <v>17</v>
      </c>
      <c r="C25" s="27" t="s">
        <v>125</v>
      </c>
      <c r="D25" s="27"/>
      <c r="E25" s="27" t="s">
        <v>221</v>
      </c>
      <c r="F25" s="27" t="s">
        <v>15</v>
      </c>
      <c r="G25" s="28" t="s">
        <v>261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 x14ac:dyDescent="0.2">
      <c r="A26" s="22">
        <v>46153</v>
      </c>
      <c r="B26" s="22" t="s">
        <v>17</v>
      </c>
      <c r="C26" s="27" t="s">
        <v>125</v>
      </c>
      <c r="D26" s="27"/>
      <c r="E26" s="27" t="s">
        <v>62</v>
      </c>
      <c r="F26" s="27" t="s">
        <v>15</v>
      </c>
      <c r="G26" s="28" t="s">
        <v>224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 x14ac:dyDescent="0.2">
      <c r="A27" s="22">
        <v>46154</v>
      </c>
      <c r="B27" s="22" t="s">
        <v>18</v>
      </c>
      <c r="C27" s="27" t="s">
        <v>125</v>
      </c>
      <c r="D27" s="27"/>
      <c r="E27" s="27" t="s">
        <v>221</v>
      </c>
      <c r="F27" s="27" t="s">
        <v>15</v>
      </c>
      <c r="G27" s="28" t="s">
        <v>261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223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 x14ac:dyDescent="0.2">
      <c r="A29" s="22">
        <v>46154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261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 x14ac:dyDescent="0.2">
      <c r="A30" s="22">
        <v>46154</v>
      </c>
      <c r="B30" s="22" t="s">
        <v>18</v>
      </c>
      <c r="C30" s="27" t="s">
        <v>125</v>
      </c>
      <c r="D30" s="27"/>
      <c r="E30" s="27" t="s">
        <v>221</v>
      </c>
      <c r="F30" s="27" t="s">
        <v>15</v>
      </c>
      <c r="G30" s="28" t="s">
        <v>261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28" t="s">
        <v>224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 x14ac:dyDescent="0.2">
      <c r="A32" s="22">
        <v>46155</v>
      </c>
      <c r="B32" s="22" t="s">
        <v>19</v>
      </c>
      <c r="C32" s="27"/>
      <c r="D32" s="27"/>
      <c r="E32" s="27" t="s">
        <v>81</v>
      </c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46156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222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 x14ac:dyDescent="0.2">
      <c r="A34" s="22">
        <v>46156</v>
      </c>
      <c r="B34" s="22" t="s">
        <v>20</v>
      </c>
      <c r="C34" s="27" t="s">
        <v>125</v>
      </c>
      <c r="D34" s="27"/>
      <c r="E34" s="27" t="s">
        <v>221</v>
      </c>
      <c r="F34" s="27" t="s">
        <v>15</v>
      </c>
      <c r="G34" s="28" t="s">
        <v>261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 x14ac:dyDescent="0.2">
      <c r="A35" s="22">
        <v>46156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 x14ac:dyDescent="0.2">
      <c r="A36" s="22">
        <v>46156</v>
      </c>
      <c r="B36" s="22" t="s">
        <v>20</v>
      </c>
      <c r="C36" s="27" t="s">
        <v>125</v>
      </c>
      <c r="D36" s="27"/>
      <c r="E36" s="27" t="s">
        <v>221</v>
      </c>
      <c r="F36" s="27" t="s">
        <v>15</v>
      </c>
      <c r="G36" s="28" t="s">
        <v>261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 x14ac:dyDescent="0.2">
      <c r="A37" s="22">
        <v>46156</v>
      </c>
      <c r="B37" s="22" t="s">
        <v>20</v>
      </c>
      <c r="C37" s="27" t="s">
        <v>125</v>
      </c>
      <c r="D37" s="27"/>
      <c r="E37" s="27" t="s">
        <v>221</v>
      </c>
      <c r="F37" s="27" t="s">
        <v>15</v>
      </c>
      <c r="G37" s="28" t="s">
        <v>261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 x14ac:dyDescent="0.2">
      <c r="A38" s="22">
        <v>46156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 x14ac:dyDescent="0.2">
      <c r="A39" s="22">
        <v>46157</v>
      </c>
      <c r="B39" s="22" t="s">
        <v>11</v>
      </c>
      <c r="C39" s="27" t="s">
        <v>125</v>
      </c>
      <c r="D39" s="27"/>
      <c r="E39" s="27" t="s">
        <v>62</v>
      </c>
      <c r="F39" s="27" t="s">
        <v>15</v>
      </c>
      <c r="G39" s="28" t="s">
        <v>222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 x14ac:dyDescent="0.2">
      <c r="A40" s="22">
        <v>46157</v>
      </c>
      <c r="B40" s="22" t="s">
        <v>11</v>
      </c>
      <c r="C40" s="27" t="s">
        <v>125</v>
      </c>
      <c r="D40" s="27"/>
      <c r="E40" s="27" t="s">
        <v>221</v>
      </c>
      <c r="F40" s="27" t="s">
        <v>15</v>
      </c>
      <c r="G40" s="28" t="s">
        <v>261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 x14ac:dyDescent="0.2">
      <c r="A41" s="22">
        <v>46157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 x14ac:dyDescent="0.2">
      <c r="A42" s="22">
        <v>46157</v>
      </c>
      <c r="B42" s="22" t="s">
        <v>11</v>
      </c>
      <c r="C42" s="27" t="s">
        <v>125</v>
      </c>
      <c r="D42" s="27"/>
      <c r="E42" s="27" t="s">
        <v>221</v>
      </c>
      <c r="F42" s="27" t="s">
        <v>15</v>
      </c>
      <c r="G42" s="28" t="s">
        <v>261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 x14ac:dyDescent="0.2">
      <c r="A43" s="22">
        <v>46157</v>
      </c>
      <c r="B43" s="22" t="s">
        <v>11</v>
      </c>
      <c r="C43" s="27" t="s">
        <v>125</v>
      </c>
      <c r="D43" s="27"/>
      <c r="E43" s="27" t="s">
        <v>221</v>
      </c>
      <c r="F43" s="27" t="s">
        <v>15</v>
      </c>
      <c r="G43" s="28" t="s">
        <v>261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46157</v>
      </c>
      <c r="B44" s="22" t="s">
        <v>11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 x14ac:dyDescent="0.2">
      <c r="A45" s="31">
        <v>46158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46159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46160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222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 x14ac:dyDescent="0.2">
      <c r="A48" s="22">
        <v>46160</v>
      </c>
      <c r="B48" s="22" t="s">
        <v>17</v>
      </c>
      <c r="C48" s="27" t="s">
        <v>125</v>
      </c>
      <c r="D48" s="27"/>
      <c r="E48" s="27" t="s">
        <v>221</v>
      </c>
      <c r="F48" s="27" t="s">
        <v>15</v>
      </c>
      <c r="G48" s="28" t="s">
        <v>261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 x14ac:dyDescent="0.2">
      <c r="A49" s="22">
        <v>46160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 x14ac:dyDescent="0.2">
      <c r="A50" s="22">
        <v>46160</v>
      </c>
      <c r="B50" s="22" t="s">
        <v>17</v>
      </c>
      <c r="C50" s="27" t="s">
        <v>125</v>
      </c>
      <c r="D50" s="27"/>
      <c r="E50" s="27" t="s">
        <v>221</v>
      </c>
      <c r="F50" s="27" t="s">
        <v>15</v>
      </c>
      <c r="G50" s="28" t="s">
        <v>261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 x14ac:dyDescent="0.2">
      <c r="A51" s="22">
        <v>46160</v>
      </c>
      <c r="B51" s="22" t="s">
        <v>17</v>
      </c>
      <c r="C51" s="27" t="s">
        <v>125</v>
      </c>
      <c r="D51" s="27"/>
      <c r="E51" s="27" t="s">
        <v>221</v>
      </c>
      <c r="F51" s="27" t="s">
        <v>15</v>
      </c>
      <c r="G51" s="28" t="s">
        <v>261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 x14ac:dyDescent="0.2">
      <c r="A52" s="22">
        <v>46160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224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46161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 x14ac:dyDescent="0.2">
      <c r="A54" s="22">
        <v>46161</v>
      </c>
      <c r="B54" s="22" t="s">
        <v>18</v>
      </c>
      <c r="C54" s="27" t="s">
        <v>125</v>
      </c>
      <c r="D54" s="27"/>
      <c r="E54" s="27" t="s">
        <v>221</v>
      </c>
      <c r="F54" s="27" t="s">
        <v>15</v>
      </c>
      <c r="G54" s="28" t="s">
        <v>261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 x14ac:dyDescent="0.2">
      <c r="A55" s="22">
        <v>46161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 x14ac:dyDescent="0.2">
      <c r="A56" s="22">
        <v>46161</v>
      </c>
      <c r="B56" s="22" t="s">
        <v>18</v>
      </c>
      <c r="C56" s="27" t="s">
        <v>125</v>
      </c>
      <c r="D56" s="27"/>
      <c r="E56" s="27" t="s">
        <v>221</v>
      </c>
      <c r="F56" s="27" t="s">
        <v>15</v>
      </c>
      <c r="G56" s="28" t="s">
        <v>261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 x14ac:dyDescent="0.2">
      <c r="A57" s="22">
        <v>46161</v>
      </c>
      <c r="B57" s="22" t="s">
        <v>18</v>
      </c>
      <c r="C57" s="27" t="s">
        <v>125</v>
      </c>
      <c r="D57" s="27"/>
      <c r="E57" s="27" t="s">
        <v>221</v>
      </c>
      <c r="F57" s="27" t="s">
        <v>15</v>
      </c>
      <c r="G57" s="28" t="s">
        <v>261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 x14ac:dyDescent="0.2">
      <c r="A58" s="22">
        <v>46161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224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 x14ac:dyDescent="0.2">
      <c r="A59" s="22">
        <v>46162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222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 x14ac:dyDescent="0.2">
      <c r="A60" s="22">
        <v>46162</v>
      </c>
      <c r="B60" s="22" t="s">
        <v>19</v>
      </c>
      <c r="C60" s="27" t="s">
        <v>125</v>
      </c>
      <c r="D60" s="27"/>
      <c r="E60" s="27" t="s">
        <v>221</v>
      </c>
      <c r="F60" s="27" t="s">
        <v>15</v>
      </c>
      <c r="G60" s="28" t="s">
        <v>261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 x14ac:dyDescent="0.2">
      <c r="A61" s="22">
        <v>46162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 x14ac:dyDescent="0.2">
      <c r="A62" s="22">
        <v>46162</v>
      </c>
      <c r="B62" s="22" t="s">
        <v>19</v>
      </c>
      <c r="C62" s="27" t="s">
        <v>125</v>
      </c>
      <c r="D62" s="27"/>
      <c r="E62" s="27" t="s">
        <v>221</v>
      </c>
      <c r="F62" s="27" t="s">
        <v>15</v>
      </c>
      <c r="G62" s="28" t="s">
        <v>261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 x14ac:dyDescent="0.2">
      <c r="A63" s="22">
        <v>46162</v>
      </c>
      <c r="B63" s="22" t="s">
        <v>19</v>
      </c>
      <c r="C63" s="27" t="s">
        <v>125</v>
      </c>
      <c r="D63" s="27"/>
      <c r="E63" s="27" t="s">
        <v>221</v>
      </c>
      <c r="F63" s="27" t="s">
        <v>15</v>
      </c>
      <c r="G63" s="28" t="s">
        <v>261</v>
      </c>
      <c r="H63" s="29">
        <f>J63-I63</f>
        <v>2.083333333333337E-2</v>
      </c>
      <c r="I63" s="30">
        <v>0.5625</v>
      </c>
      <c r="J63" s="30">
        <v>0.58333333333333337</v>
      </c>
    </row>
    <row r="64" spans="1:10" x14ac:dyDescent="0.2">
      <c r="A64" s="22">
        <v>46162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3" t="s">
        <v>268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224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 x14ac:dyDescent="0.2">
      <c r="A66" s="22">
        <v>46162</v>
      </c>
      <c r="B66" s="22" t="s">
        <v>19</v>
      </c>
      <c r="C66" s="27" t="s">
        <v>125</v>
      </c>
      <c r="D66" s="27"/>
      <c r="E66" s="27" t="s">
        <v>53</v>
      </c>
      <c r="F66" s="27" t="s">
        <v>15</v>
      </c>
      <c r="G66" s="28" t="s">
        <v>269</v>
      </c>
      <c r="H66" s="29"/>
      <c r="I66" s="30">
        <v>0.67291666666666672</v>
      </c>
      <c r="J66" s="30">
        <v>0.72013888888888888</v>
      </c>
    </row>
    <row r="67" spans="1:10" x14ac:dyDescent="0.2">
      <c r="A67" s="22">
        <v>46163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222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 x14ac:dyDescent="0.2">
      <c r="A68" s="22">
        <v>46163</v>
      </c>
      <c r="B68" s="22" t="s">
        <v>20</v>
      </c>
      <c r="C68" s="27" t="s">
        <v>125</v>
      </c>
      <c r="D68" s="27"/>
      <c r="E68" s="27" t="s">
        <v>221</v>
      </c>
      <c r="F68" s="27" t="s">
        <v>15</v>
      </c>
      <c r="G68" s="28" t="s">
        <v>265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 x14ac:dyDescent="0.2">
      <c r="A69" s="22">
        <v>46163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223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 x14ac:dyDescent="0.2">
      <c r="A70" s="22">
        <v>46163</v>
      </c>
      <c r="B70" s="22" t="s">
        <v>20</v>
      </c>
      <c r="C70" s="27" t="s">
        <v>125</v>
      </c>
      <c r="D70" s="27"/>
      <c r="E70" s="27" t="s">
        <v>221</v>
      </c>
      <c r="F70" s="27" t="s">
        <v>15</v>
      </c>
      <c r="G70" s="28" t="s">
        <v>266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 x14ac:dyDescent="0.2">
      <c r="A71" s="22">
        <v>46163</v>
      </c>
      <c r="B71" s="22" t="s">
        <v>20</v>
      </c>
      <c r="C71" s="27" t="s">
        <v>125</v>
      </c>
      <c r="D71" s="27"/>
      <c r="E71" s="27" t="s">
        <v>221</v>
      </c>
      <c r="F71" s="27" t="s">
        <v>15</v>
      </c>
      <c r="G71" s="28" t="s">
        <v>267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 x14ac:dyDescent="0.2">
      <c r="A72" s="22">
        <v>46163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224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 x14ac:dyDescent="0.2">
      <c r="A73" s="22">
        <v>46164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222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 x14ac:dyDescent="0.2">
      <c r="A74" s="22">
        <v>46164</v>
      </c>
      <c r="B74" s="22" t="s">
        <v>11</v>
      </c>
      <c r="C74" s="27" t="s">
        <v>125</v>
      </c>
      <c r="D74" s="27"/>
      <c r="E74" s="27" t="s">
        <v>221</v>
      </c>
      <c r="F74" s="27" t="s">
        <v>15</v>
      </c>
      <c r="G74" s="28" t="s">
        <v>267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 x14ac:dyDescent="0.2">
      <c r="A75" s="22">
        <v>46164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223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 x14ac:dyDescent="0.2">
      <c r="A76" s="22">
        <v>46164</v>
      </c>
      <c r="B76" s="22" t="s">
        <v>11</v>
      </c>
      <c r="C76" s="27" t="s">
        <v>125</v>
      </c>
      <c r="D76" s="27"/>
      <c r="E76" s="27" t="s">
        <v>221</v>
      </c>
      <c r="F76" s="27" t="s">
        <v>15</v>
      </c>
      <c r="G76" s="28" t="s">
        <v>267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 x14ac:dyDescent="0.2">
      <c r="A77" s="22">
        <v>46164</v>
      </c>
      <c r="B77" s="22" t="s">
        <v>11</v>
      </c>
      <c r="C77" s="27" t="s">
        <v>125</v>
      </c>
      <c r="D77" s="27"/>
      <c r="E77" s="27" t="s">
        <v>221</v>
      </c>
      <c r="F77" s="27" t="s">
        <v>15</v>
      </c>
      <c r="G77" s="28" t="s">
        <v>267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 x14ac:dyDescent="0.2">
      <c r="A78" s="22">
        <v>46164</v>
      </c>
      <c r="B78" s="22" t="s">
        <v>11</v>
      </c>
      <c r="C78" s="27" t="s">
        <v>125</v>
      </c>
      <c r="D78" s="27"/>
      <c r="E78" s="27" t="s">
        <v>62</v>
      </c>
      <c r="F78" s="27" t="s">
        <v>15</v>
      </c>
      <c r="G78" s="28" t="s">
        <v>224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 x14ac:dyDescent="0.2">
      <c r="A79" s="31">
        <v>46165</v>
      </c>
      <c r="B79" s="31" t="s">
        <v>14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31">
        <v>46166</v>
      </c>
      <c r="B80" s="31" t="s">
        <v>16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 x14ac:dyDescent="0.2">
      <c r="A81" s="22">
        <v>46167</v>
      </c>
      <c r="B81" s="22" t="s">
        <v>17</v>
      </c>
      <c r="C81" s="27" t="s">
        <v>125</v>
      </c>
      <c r="D81" s="27"/>
      <c r="E81" s="27" t="s">
        <v>62</v>
      </c>
      <c r="F81" s="27" t="s">
        <v>15</v>
      </c>
      <c r="G81" s="28" t="s">
        <v>222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 x14ac:dyDescent="0.2">
      <c r="A82" s="22">
        <v>46167</v>
      </c>
      <c r="B82" s="22" t="s">
        <v>17</v>
      </c>
      <c r="C82" s="27" t="s">
        <v>125</v>
      </c>
      <c r="D82" s="27"/>
      <c r="E82" s="27" t="s">
        <v>221</v>
      </c>
      <c r="F82" s="27" t="s">
        <v>15</v>
      </c>
      <c r="G82" s="28" t="s">
        <v>270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 x14ac:dyDescent="0.2">
      <c r="A83" s="22">
        <v>46167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223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 x14ac:dyDescent="0.2">
      <c r="A84" s="22">
        <v>46167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271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 x14ac:dyDescent="0.2">
      <c r="A85" s="22">
        <v>46167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271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3" t="s">
        <v>268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224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 x14ac:dyDescent="0.2">
      <c r="A89" s="22">
        <v>46168</v>
      </c>
      <c r="B89" s="22" t="s">
        <v>18</v>
      </c>
      <c r="C89" s="27" t="s">
        <v>125</v>
      </c>
      <c r="D89" s="27"/>
      <c r="E89" s="27" t="s">
        <v>221</v>
      </c>
      <c r="F89" s="27" t="s">
        <v>15</v>
      </c>
      <c r="G89" s="28" t="s">
        <v>271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223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 x14ac:dyDescent="0.2">
      <c r="A91" s="22">
        <v>46168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271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 x14ac:dyDescent="0.2">
      <c r="A92" s="22">
        <v>46168</v>
      </c>
      <c r="B92" s="22" t="s">
        <v>18</v>
      </c>
      <c r="C92" s="27" t="s">
        <v>125</v>
      </c>
      <c r="D92" s="27"/>
      <c r="E92" s="27" t="s">
        <v>91</v>
      </c>
      <c r="F92" s="27" t="s">
        <v>15</v>
      </c>
      <c r="G92" s="28"/>
      <c r="H92" s="29">
        <f t="shared" si="0"/>
        <v>0</v>
      </c>
      <c r="I92" s="30"/>
      <c r="J92" s="30"/>
    </row>
    <row r="93" spans="1:10" x14ac:dyDescent="0.2">
      <c r="A93" s="22">
        <v>46169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8" t="s">
        <v>222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 x14ac:dyDescent="0.2">
      <c r="A94" s="22">
        <v>46169</v>
      </c>
      <c r="B94" s="22" t="s">
        <v>19</v>
      </c>
      <c r="C94" s="27" t="s">
        <v>125</v>
      </c>
      <c r="D94" s="27"/>
      <c r="E94" s="27" t="s">
        <v>221</v>
      </c>
      <c r="F94" s="27" t="s">
        <v>15</v>
      </c>
      <c r="G94" s="28" t="s">
        <v>271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 x14ac:dyDescent="0.2">
      <c r="A95" s="22">
        <v>46169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8" t="s">
        <v>223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 x14ac:dyDescent="0.2">
      <c r="A96" s="22">
        <v>46169</v>
      </c>
      <c r="B96" s="22" t="s">
        <v>19</v>
      </c>
      <c r="C96" s="27" t="s">
        <v>125</v>
      </c>
      <c r="D96" s="27"/>
      <c r="E96" s="27" t="s">
        <v>221</v>
      </c>
      <c r="F96" s="27" t="s">
        <v>15</v>
      </c>
      <c r="G96" s="28" t="s">
        <v>271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 x14ac:dyDescent="0.2">
      <c r="A97" s="22">
        <v>46169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271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 x14ac:dyDescent="0.2">
      <c r="A98" s="22">
        <v>46169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3" t="s">
        <v>268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272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 x14ac:dyDescent="0.2">
      <c r="A100" s="22">
        <v>46170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222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 x14ac:dyDescent="0.2">
      <c r="A101" s="22">
        <v>46170</v>
      </c>
      <c r="B101" s="22" t="s">
        <v>20</v>
      </c>
      <c r="C101" s="27" t="s">
        <v>125</v>
      </c>
      <c r="D101" s="27"/>
      <c r="E101" s="27" t="s">
        <v>221</v>
      </c>
      <c r="F101" s="27" t="s">
        <v>15</v>
      </c>
      <c r="G101" s="28" t="s">
        <v>271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 x14ac:dyDescent="0.2">
      <c r="A102" s="22"/>
      <c r="B102" s="22"/>
      <c r="C102" s="27"/>
      <c r="D102" s="27"/>
      <c r="E102" s="27" t="s">
        <v>62</v>
      </c>
      <c r="F102" s="27" t="s">
        <v>15</v>
      </c>
      <c r="G102" s="23" t="s">
        <v>268</v>
      </c>
      <c r="H102" s="29">
        <f t="shared" si="0"/>
        <v>6.25E-2</v>
      </c>
      <c r="I102" s="30">
        <v>0.375</v>
      </c>
      <c r="J102" s="30">
        <v>0.4375</v>
      </c>
    </row>
    <row r="103" spans="1:10" x14ac:dyDescent="0.2">
      <c r="A103" s="22"/>
      <c r="B103" s="22"/>
      <c r="C103" s="27"/>
      <c r="D103" s="27"/>
      <c r="E103" s="27" t="s">
        <v>221</v>
      </c>
      <c r="F103" s="27" t="s">
        <v>15</v>
      </c>
      <c r="G103" s="28" t="s">
        <v>271</v>
      </c>
      <c r="H103" s="29"/>
      <c r="I103" s="30">
        <v>0.4375</v>
      </c>
      <c r="J103" s="30">
        <v>0.45833333333333331</v>
      </c>
    </row>
    <row r="104" spans="1:10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 x14ac:dyDescent="0.2">
      <c r="A105" s="22">
        <v>46170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271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 x14ac:dyDescent="0.2">
      <c r="A106" s="22">
        <v>46170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271</v>
      </c>
      <c r="H106" s="29">
        <f t="shared" si="0"/>
        <v>6.25E-2</v>
      </c>
      <c r="I106" s="30">
        <v>0.5625</v>
      </c>
      <c r="J106" s="30">
        <v>0.625</v>
      </c>
    </row>
    <row r="107" spans="1:10" x14ac:dyDescent="0.2">
      <c r="A107" s="22">
        <v>46170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3" t="s">
        <v>268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 x14ac:dyDescent="0.2">
      <c r="A108" s="22">
        <v>46170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273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 x14ac:dyDescent="0.2">
      <c r="A110" s="22">
        <v>46171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222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 x14ac:dyDescent="0.2">
      <c r="A111" s="22">
        <v>46171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271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223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 x14ac:dyDescent="0.2">
      <c r="A113" s="22">
        <v>46171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271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 x14ac:dyDescent="0.2">
      <c r="A114" s="22">
        <v>46171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271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 x14ac:dyDescent="0.2">
      <c r="A115" s="22">
        <v>46171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3" t="s">
        <v>224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46172</v>
      </c>
      <c r="B116" s="31" t="s">
        <v>14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 x14ac:dyDescent="0.2">
      <c r="A117" s="31">
        <v>46173</v>
      </c>
      <c r="B117" s="31" t="s">
        <v>16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 x14ac:dyDescent="0.25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 x14ac:dyDescent="0.2">
      <c r="A119" s="4"/>
      <c r="B119" s="4"/>
      <c r="C119" s="5"/>
      <c r="D119" s="6"/>
      <c r="E119" s="7" t="s">
        <v>21</v>
      </c>
      <c r="F119" s="8">
        <v>160</v>
      </c>
      <c r="H119" s="40"/>
    </row>
    <row r="120" spans="1:10" ht="14.1" customHeight="1" thickBot="1" x14ac:dyDescent="0.25">
      <c r="A120" s="4"/>
      <c r="B120" s="4"/>
      <c r="C120" s="9"/>
      <c r="D120" s="2"/>
      <c r="E120" s="10" t="s">
        <v>22</v>
      </c>
      <c r="F120" s="11">
        <v>20</v>
      </c>
      <c r="H120" s="40"/>
    </row>
    <row r="121" spans="1:10" ht="14.1" customHeight="1" thickBot="1" x14ac:dyDescent="0.25">
      <c r="A121" s="128" t="s">
        <v>23</v>
      </c>
      <c r="B121" s="128"/>
      <c r="C121" s="128"/>
      <c r="D121" s="12"/>
      <c r="E121" s="2"/>
      <c r="F121" s="2"/>
      <c r="H121" s="40"/>
    </row>
    <row r="122" spans="1:10" ht="14.25" x14ac:dyDescent="0.2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25">
      <c r="A123" s="129" t="s">
        <v>25</v>
      </c>
      <c r="B123" s="129"/>
      <c r="C123" s="129"/>
      <c r="D123" s="16"/>
      <c r="E123" s="17" t="s">
        <v>26</v>
      </c>
      <c r="F123" s="18">
        <f>SUMIF(F9:F117,"Non-Billable",H9:H117)</f>
        <v>6.3951388888888863</v>
      </c>
      <c r="H123" s="40"/>
    </row>
    <row r="124" spans="1:10" ht="15" thickBot="1" x14ac:dyDescent="0.25">
      <c r="A124" s="2"/>
      <c r="B124" s="2"/>
      <c r="C124" s="2"/>
      <c r="D124" s="2"/>
      <c r="E124" s="19" t="s">
        <v>27</v>
      </c>
      <c r="F124" s="44">
        <f>F122+F123</f>
        <v>6.3951388888888863</v>
      </c>
      <c r="H124" s="40"/>
    </row>
    <row r="125" spans="1:10" ht="13.5" thickBot="1" x14ac:dyDescent="0.25">
      <c r="A125" s="2"/>
      <c r="B125" s="2"/>
      <c r="C125" s="2"/>
      <c r="D125" s="2"/>
      <c r="E125" s="2"/>
      <c r="F125" s="2"/>
      <c r="H125" s="40"/>
    </row>
    <row r="126" spans="1:10" ht="13.5" thickBot="1" x14ac:dyDescent="0.25">
      <c r="A126" s="2"/>
      <c r="B126" s="2"/>
      <c r="C126" s="2"/>
      <c r="D126" s="2"/>
      <c r="E126" s="20" t="s">
        <v>28</v>
      </c>
      <c r="F126" s="21"/>
      <c r="H126" s="40"/>
    </row>
    <row r="127" spans="1:10" ht="13.5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7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7:E119 D121:E123 E126">
    <cfRule type="containsText" dxfId="70" priority="1" operator="containsText" text="Religious Leave">
      <formula>NOT(ISERROR(SEARCH("Religious Leave",D117)))</formula>
    </cfRule>
    <cfRule type="containsText" dxfId="69" priority="2" operator="containsText" text="Birthday Leave">
      <formula>NOT(ISERROR(SEARCH("Birthday Leave",D117)))</formula>
    </cfRule>
    <cfRule type="containsText" dxfId="68" priority="3" operator="containsText" text="Study Leave">
      <formula>NOT(ISERROR(SEARCH("Study Leave",D117)))</formula>
    </cfRule>
    <cfRule type="containsText" dxfId="67" priority="4" operator="containsText" text="Family Responsibility Leave">
      <formula>NOT(ISERROR(SEARCH("Family Responsibility Leave",D117)))</formula>
    </cfRule>
    <cfRule type="containsText" dxfId="66" priority="5" operator="containsText" text="Sick Leave">
      <formula>NOT(ISERROR(SEARCH("Sick Leave",D117)))</formula>
    </cfRule>
    <cfRule type="containsText" dxfId="65" priority="6" operator="containsText" text="Annual Leave">
      <formula>NOT(ISERROR(SEARCH("Annual Leave",D117)))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5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abSelected="1" topLeftCell="A3" zoomScaleNormal="100" workbookViewId="0">
      <selection activeCell="D16" sqref="D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7.6666666666666634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/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 t="s">
        <v>125</v>
      </c>
      <c r="D10" s="27"/>
      <c r="E10" s="27" t="s">
        <v>31</v>
      </c>
      <c r="F10" s="27" t="s">
        <v>13</v>
      </c>
      <c r="G10" s="28" t="s">
        <v>107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46206</v>
      </c>
      <c r="B11" s="22" t="s">
        <v>11</v>
      </c>
      <c r="C11" s="27" t="s">
        <v>125</v>
      </c>
      <c r="D11" s="27"/>
      <c r="E11" s="27" t="s">
        <v>31</v>
      </c>
      <c r="F11" s="27" t="s">
        <v>13</v>
      </c>
      <c r="G11" s="28" t="s">
        <v>107</v>
      </c>
      <c r="H11" s="29">
        <f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 t="s">
        <v>125</v>
      </c>
      <c r="D14" s="27"/>
      <c r="E14" s="27" t="s">
        <v>31</v>
      </c>
      <c r="F14" s="27" t="s">
        <v>13</v>
      </c>
      <c r="G14" s="28" t="s">
        <v>107</v>
      </c>
      <c r="H14" s="29">
        <f t="shared" si="1"/>
        <v>0.33333333333333331</v>
      </c>
      <c r="I14" s="30">
        <v>0.33333333333333331</v>
      </c>
      <c r="J14" s="30">
        <v>0.66666666666666663</v>
      </c>
    </row>
    <row r="15" spans="1:10" x14ac:dyDescent="0.2">
      <c r="A15" s="22">
        <v>46210</v>
      </c>
      <c r="B15" s="22" t="s">
        <v>18</v>
      </c>
      <c r="C15" s="27" t="s">
        <v>125</v>
      </c>
      <c r="D15" s="27"/>
      <c r="E15" s="27" t="s">
        <v>31</v>
      </c>
      <c r="F15" s="27" t="s">
        <v>13</v>
      </c>
      <c r="G15" s="28" t="s">
        <v>107</v>
      </c>
      <c r="H15" s="29">
        <f t="shared" si="1"/>
        <v>0.33333333333333331</v>
      </c>
      <c r="I15" s="30">
        <v>0.33333333333333331</v>
      </c>
      <c r="J15" s="30">
        <v>0.66666666666666663</v>
      </c>
    </row>
    <row r="16" spans="1:10" x14ac:dyDescent="0.2">
      <c r="A16" s="22">
        <v>46211</v>
      </c>
      <c r="B16" s="22" t="s">
        <v>19</v>
      </c>
      <c r="C16" s="27" t="s">
        <v>125</v>
      </c>
      <c r="D16" s="27"/>
      <c r="E16" s="27" t="s">
        <v>31</v>
      </c>
      <c r="F16" s="27" t="s">
        <v>13</v>
      </c>
      <c r="G16" s="28" t="s">
        <v>107</v>
      </c>
      <c r="H16" s="29">
        <f t="shared" si="1"/>
        <v>0.33333333333333331</v>
      </c>
      <c r="I16" s="30">
        <v>0.33333333333333331</v>
      </c>
      <c r="J16" s="30">
        <v>0.66666666666666663</v>
      </c>
    </row>
    <row r="17" spans="1:10" x14ac:dyDescent="0.2">
      <c r="A17" s="22">
        <v>46212</v>
      </c>
      <c r="B17" s="22" t="s">
        <v>20</v>
      </c>
      <c r="C17" s="27" t="s">
        <v>125</v>
      </c>
      <c r="D17" s="27"/>
      <c r="E17" s="27" t="s">
        <v>31</v>
      </c>
      <c r="F17" s="27" t="s">
        <v>13</v>
      </c>
      <c r="G17" s="28" t="s">
        <v>107</v>
      </c>
      <c r="H17" s="29">
        <f t="shared" ref="H17" si="2">J17-I17</f>
        <v>0.33333333333333331</v>
      </c>
      <c r="I17" s="30">
        <v>0.33333333333333331</v>
      </c>
      <c r="J17" s="30">
        <v>0.66666666666666663</v>
      </c>
    </row>
    <row r="18" spans="1:10" x14ac:dyDescent="0.2">
      <c r="A18" s="22">
        <v>46213</v>
      </c>
      <c r="B18" s="22" t="s">
        <v>11</v>
      </c>
      <c r="C18" s="27" t="s">
        <v>125</v>
      </c>
      <c r="D18" s="27"/>
      <c r="E18" s="27" t="s">
        <v>31</v>
      </c>
      <c r="F18" s="27" t="s">
        <v>13</v>
      </c>
      <c r="G18" s="28" t="s">
        <v>107</v>
      </c>
      <c r="H18" s="29">
        <f t="shared" si="1"/>
        <v>0.33333333333333331</v>
      </c>
      <c r="I18" s="30">
        <v>0.33333333333333331</v>
      </c>
      <c r="J18" s="30">
        <v>0.66666666666666663</v>
      </c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 t="s">
        <v>125</v>
      </c>
      <c r="D21" s="27"/>
      <c r="E21" s="27" t="s">
        <v>31</v>
      </c>
      <c r="F21" s="27" t="s">
        <v>13</v>
      </c>
      <c r="G21" s="28" t="s">
        <v>107</v>
      </c>
      <c r="H21" s="29">
        <f t="shared" si="1"/>
        <v>0.33333333333333331</v>
      </c>
      <c r="I21" s="30">
        <v>0.33333333333333331</v>
      </c>
      <c r="J21" s="30">
        <v>0.66666666666666663</v>
      </c>
    </row>
    <row r="22" spans="1:10" x14ac:dyDescent="0.2">
      <c r="A22" s="22">
        <v>46217</v>
      </c>
      <c r="B22" s="22" t="s">
        <v>18</v>
      </c>
      <c r="C22" s="27" t="s">
        <v>125</v>
      </c>
      <c r="D22" s="27"/>
      <c r="E22" s="27" t="s">
        <v>31</v>
      </c>
      <c r="F22" s="27" t="s">
        <v>13</v>
      </c>
      <c r="G22" s="28" t="s">
        <v>107</v>
      </c>
      <c r="H22" s="29">
        <f t="shared" si="1"/>
        <v>0.33333333333333331</v>
      </c>
      <c r="I22" s="30">
        <v>0.33333333333333331</v>
      </c>
      <c r="J22" s="30">
        <v>0.66666666666666663</v>
      </c>
    </row>
    <row r="23" spans="1:10" x14ac:dyDescent="0.2">
      <c r="A23" s="22">
        <v>46218</v>
      </c>
      <c r="B23" s="22" t="s">
        <v>19</v>
      </c>
      <c r="C23" s="27" t="s">
        <v>125</v>
      </c>
      <c r="D23" s="27"/>
      <c r="E23" s="27" t="s">
        <v>31</v>
      </c>
      <c r="F23" s="27" t="s">
        <v>13</v>
      </c>
      <c r="G23" s="28" t="s">
        <v>107</v>
      </c>
      <c r="H23" s="29">
        <f t="shared" si="1"/>
        <v>0.33333333333333331</v>
      </c>
      <c r="I23" s="30">
        <v>0.33333333333333331</v>
      </c>
      <c r="J23" s="30">
        <v>0.66666666666666663</v>
      </c>
    </row>
    <row r="24" spans="1:10" x14ac:dyDescent="0.2">
      <c r="A24" s="22">
        <v>46219</v>
      </c>
      <c r="B24" s="22" t="s">
        <v>20</v>
      </c>
      <c r="C24" s="27" t="s">
        <v>125</v>
      </c>
      <c r="D24" s="27"/>
      <c r="E24" s="27" t="s">
        <v>31</v>
      </c>
      <c r="F24" s="27" t="s">
        <v>13</v>
      </c>
      <c r="G24" s="28" t="s">
        <v>107</v>
      </c>
      <c r="H24" s="29">
        <f t="shared" si="1"/>
        <v>0.33333333333333331</v>
      </c>
      <c r="I24" s="30">
        <v>0.33333333333333331</v>
      </c>
      <c r="J24" s="30">
        <v>0.66666666666666663</v>
      </c>
    </row>
    <row r="25" spans="1:10" x14ac:dyDescent="0.2">
      <c r="A25" s="22">
        <v>46220</v>
      </c>
      <c r="B25" s="22" t="s">
        <v>11</v>
      </c>
      <c r="C25" s="27" t="s">
        <v>125</v>
      </c>
      <c r="D25" s="27"/>
      <c r="E25" s="27" t="s">
        <v>31</v>
      </c>
      <c r="F25" s="27" t="s">
        <v>13</v>
      </c>
      <c r="G25" s="28" t="s">
        <v>107</v>
      </c>
      <c r="H25" s="29">
        <f t="shared" si="1"/>
        <v>0.33333333333333331</v>
      </c>
      <c r="I25" s="30">
        <v>0.33333333333333331</v>
      </c>
      <c r="J25" s="30">
        <v>0.66666666666666663</v>
      </c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 t="s">
        <v>125</v>
      </c>
      <c r="D28" s="27"/>
      <c r="E28" s="27" t="s">
        <v>31</v>
      </c>
      <c r="F28" s="27" t="s">
        <v>13</v>
      </c>
      <c r="G28" s="28" t="s">
        <v>107</v>
      </c>
      <c r="H28" s="29">
        <f t="shared" si="1"/>
        <v>0.33333333333333331</v>
      </c>
      <c r="I28" s="30">
        <v>0.33333333333333331</v>
      </c>
      <c r="J28" s="30">
        <v>0.66666666666666663</v>
      </c>
    </row>
    <row r="29" spans="1:10" x14ac:dyDescent="0.2">
      <c r="A29" s="22">
        <v>46224</v>
      </c>
      <c r="B29" s="22" t="s">
        <v>18</v>
      </c>
      <c r="C29" s="27" t="s">
        <v>125</v>
      </c>
      <c r="D29" s="27"/>
      <c r="E29" s="27" t="s">
        <v>31</v>
      </c>
      <c r="F29" s="27" t="s">
        <v>13</v>
      </c>
      <c r="G29" s="28" t="s">
        <v>107</v>
      </c>
      <c r="H29" s="29">
        <f t="shared" si="1"/>
        <v>0.33333333333333331</v>
      </c>
      <c r="I29" s="30">
        <v>0.33333333333333331</v>
      </c>
      <c r="J29" s="30">
        <v>0.66666666666666663</v>
      </c>
    </row>
    <row r="30" spans="1:10" x14ac:dyDescent="0.2">
      <c r="A30" s="22">
        <v>46225</v>
      </c>
      <c r="B30" s="22" t="s">
        <v>19</v>
      </c>
      <c r="C30" s="27" t="s">
        <v>125</v>
      </c>
      <c r="D30" s="27"/>
      <c r="E30" s="27" t="s">
        <v>31</v>
      </c>
      <c r="F30" s="27" t="s">
        <v>13</v>
      </c>
      <c r="G30" s="28" t="s">
        <v>107</v>
      </c>
      <c r="H30" s="29">
        <f t="shared" si="1"/>
        <v>0.33333333333333331</v>
      </c>
      <c r="I30" s="30">
        <v>0.33333333333333331</v>
      </c>
      <c r="J30" s="30">
        <v>0.66666666666666663</v>
      </c>
    </row>
    <row r="31" spans="1:10" x14ac:dyDescent="0.2">
      <c r="A31" s="22">
        <v>46226</v>
      </c>
      <c r="B31" s="22" t="s">
        <v>20</v>
      </c>
      <c r="C31" s="27" t="s">
        <v>125</v>
      </c>
      <c r="D31" s="27"/>
      <c r="E31" s="27" t="s">
        <v>31</v>
      </c>
      <c r="F31" s="27" t="s">
        <v>13</v>
      </c>
      <c r="G31" s="28" t="s">
        <v>107</v>
      </c>
      <c r="H31" s="29">
        <f t="shared" si="1"/>
        <v>0.33333333333333331</v>
      </c>
      <c r="I31" s="30">
        <v>0.33333333333333331</v>
      </c>
      <c r="J31" s="30">
        <v>0.66666666666666663</v>
      </c>
    </row>
    <row r="32" spans="1:10" x14ac:dyDescent="0.2">
      <c r="A32" s="22">
        <v>46227</v>
      </c>
      <c r="B32" s="22" t="s">
        <v>11</v>
      </c>
      <c r="C32" s="27" t="s">
        <v>125</v>
      </c>
      <c r="D32" s="27"/>
      <c r="E32" s="27" t="s">
        <v>31</v>
      </c>
      <c r="F32" s="27" t="s">
        <v>13</v>
      </c>
      <c r="G32" s="28" t="s">
        <v>107</v>
      </c>
      <c r="H32" s="29">
        <f t="shared" si="1"/>
        <v>0.33333333333333331</v>
      </c>
      <c r="I32" s="30">
        <v>0.33333333333333331</v>
      </c>
      <c r="J32" s="30">
        <v>0.66666666666666663</v>
      </c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 t="s">
        <v>125</v>
      </c>
      <c r="D35" s="27"/>
      <c r="E35" s="27" t="s">
        <v>31</v>
      </c>
      <c r="F35" s="27" t="s">
        <v>13</v>
      </c>
      <c r="G35" s="28" t="s">
        <v>107</v>
      </c>
      <c r="H35" s="29">
        <f t="shared" si="1"/>
        <v>0.33333333333333331</v>
      </c>
      <c r="I35" s="30">
        <v>0.33333333333333331</v>
      </c>
      <c r="J35" s="30">
        <v>0.66666666666666663</v>
      </c>
    </row>
    <row r="36" spans="1:10" x14ac:dyDescent="0.2">
      <c r="A36" s="22">
        <v>46231</v>
      </c>
      <c r="B36" s="22" t="s">
        <v>18</v>
      </c>
      <c r="C36" s="27" t="s">
        <v>125</v>
      </c>
      <c r="D36" s="27"/>
      <c r="E36" s="27" t="s">
        <v>31</v>
      </c>
      <c r="F36" s="27" t="s">
        <v>13</v>
      </c>
      <c r="G36" s="28" t="s">
        <v>107</v>
      </c>
      <c r="H36" s="29">
        <f t="shared" si="1"/>
        <v>0.33333333333333331</v>
      </c>
      <c r="I36" s="30">
        <v>0.33333333333333331</v>
      </c>
      <c r="J36" s="30">
        <v>0.66666666666666663</v>
      </c>
    </row>
    <row r="37" spans="1:10" x14ac:dyDescent="0.2">
      <c r="A37" s="22">
        <v>46232</v>
      </c>
      <c r="B37" s="22" t="s">
        <v>19</v>
      </c>
      <c r="C37" s="27" t="s">
        <v>125</v>
      </c>
      <c r="D37" s="27"/>
      <c r="E37" s="27" t="s">
        <v>31</v>
      </c>
      <c r="F37" s="27" t="s">
        <v>13</v>
      </c>
      <c r="G37" s="28" t="s">
        <v>107</v>
      </c>
      <c r="H37" s="29">
        <f t="shared" si="1"/>
        <v>0.33333333333333331</v>
      </c>
      <c r="I37" s="30">
        <v>0.33333333333333331</v>
      </c>
      <c r="J37" s="30">
        <v>0.66666666666666663</v>
      </c>
    </row>
    <row r="38" spans="1:10" x14ac:dyDescent="0.2">
      <c r="A38" s="22">
        <v>46233</v>
      </c>
      <c r="B38" s="22" t="s">
        <v>20</v>
      </c>
      <c r="C38" s="27" t="s">
        <v>125</v>
      </c>
      <c r="D38" s="27"/>
      <c r="E38" s="27" t="s">
        <v>31</v>
      </c>
      <c r="F38" s="27" t="s">
        <v>13</v>
      </c>
      <c r="G38" s="28" t="s">
        <v>107</v>
      </c>
      <c r="H38" s="29">
        <f t="shared" si="1"/>
        <v>0.33333333333333331</v>
      </c>
      <c r="I38" s="30">
        <v>0.33333333333333331</v>
      </c>
      <c r="J38" s="30">
        <v>0.66666666666666663</v>
      </c>
    </row>
    <row r="39" spans="1:10" ht="13.5" thickBot="1" x14ac:dyDescent="0.25">
      <c r="A39" s="22">
        <v>46234</v>
      </c>
      <c r="B39" s="22" t="s">
        <v>11</v>
      </c>
      <c r="C39" s="27" t="s">
        <v>125</v>
      </c>
      <c r="D39" s="27"/>
      <c r="E39" s="27" t="s">
        <v>31</v>
      </c>
      <c r="F39" s="27" t="s">
        <v>13</v>
      </c>
      <c r="G39" s="28" t="s">
        <v>107</v>
      </c>
      <c r="H39" s="29">
        <f>J39-I39</f>
        <v>0.33333333333333331</v>
      </c>
      <c r="I39" s="30">
        <v>0.33333333333333331</v>
      </c>
      <c r="J39" s="30">
        <v>0.66666666666666663</v>
      </c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7.6666666666666634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7.6666666666666634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1" priority="8" operator="containsText" text="Saturday">
      <formula>NOT(ISERROR(SEARCH("Saturday",B7)))</formula>
    </cfRule>
    <cfRule type="containsText" dxfId="0" priority="9" operator="containsText" text="Sunday">
      <formula>NOT(ISERROR(SEARCH("Sunday",B7)))</formula>
    </cfRule>
  </conditionalFormatting>
  <conditionalFormatting sqref="D40:E41 D43:E45 E48">
    <cfRule type="containsText" dxfId="40" priority="1" operator="containsText" text="Religious Leave">
      <formula>NOT(ISERROR(SEARCH("Religious Leave",D40)))</formula>
    </cfRule>
    <cfRule type="containsText" dxfId="39" priority="2" operator="containsText" text="Birthday Leave">
      <formula>NOT(ISERROR(SEARCH("Birthday Leave",D40)))</formula>
    </cfRule>
    <cfRule type="containsText" dxfId="38" priority="3" operator="containsText" text="Study Leave">
      <formula>NOT(ISERROR(SEARCH("Study Leave",D40)))</formula>
    </cfRule>
    <cfRule type="containsText" dxfId="37" priority="4" operator="containsText" text="Family Responsibility Leave">
      <formula>NOT(ISERROR(SEARCH("Family Responsibility Leave",D40)))</formula>
    </cfRule>
    <cfRule type="containsText" dxfId="36" priority="5" operator="containsText" text="Sick Leave">
      <formula>NOT(ISERROR(SEARCH("Sick Leave",D40)))</formula>
    </cfRule>
    <cfRule type="containsText" dxfId="35" priority="6" operator="containsText" text="Annual Leave">
      <formula>NOT(ISERROR(SEARCH("Annual Leave",D40)))</formula>
    </cfRule>
    <cfRule type="cellIs" dxfId="34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2:J13 I19:J20 I26:J27 I33:J34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1 I14:J18 I21:J25 I28:J32 I35:J39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E12:E13 E19:E20 E26:E27 E33:E34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E9:E11 E14:E18 E21:E25 E28:E32 E35:E39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C9:C11 C14:C18 C21:C25 C28:C32 C35:C39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3" priority="14" operator="containsText" text="Religious Leave">
      <formula>NOT(ISERROR(SEARCH("Religious Leave",A6)))</formula>
    </cfRule>
    <cfRule type="containsText" dxfId="32" priority="15" operator="containsText" text="Birthday Leave">
      <formula>NOT(ISERROR(SEARCH("Birthday Leave",A6)))</formula>
    </cfRule>
    <cfRule type="containsText" dxfId="31" priority="16" operator="containsText" text="Study Leave">
      <formula>NOT(ISERROR(SEARCH("Study Leave",A6)))</formula>
    </cfRule>
    <cfRule type="containsText" dxfId="30" priority="17" operator="containsText" text="Family Responsibility Leave">
      <formula>NOT(ISERROR(SEARCH("Family Responsibility Leave",A6)))</formula>
    </cfRule>
    <cfRule type="containsText" dxfId="29" priority="18" operator="containsText" text="Sick Leave">
      <formula>NOT(ISERROR(SEARCH("Sick Leave",A6)))</formula>
    </cfRule>
    <cfRule type="containsText" dxfId="28" priority="19" operator="containsText" text="Annual Leave">
      <formula>NOT(ISERROR(SEARCH("Annual Leave",A6)))</formula>
    </cfRule>
    <cfRule type="cellIs" dxfId="27" priority="20" operator="equal">
      <formula>"Public Holiday"</formula>
    </cfRule>
  </conditionalFormatting>
  <conditionalFormatting sqref="B7:B49">
    <cfRule type="containsText" dxfId="26" priority="8" operator="containsText" text="Saturday">
      <formula>NOT(ISERROR(SEARCH("Saturday",B7)))</formula>
    </cfRule>
    <cfRule type="containsText" dxfId="25" priority="9" operator="containsText" text="Sunday">
      <formula>NOT(ISERROR(SEARCH("Sunday",B7)))</formula>
    </cfRule>
  </conditionalFormatting>
  <conditionalFormatting sqref="D40:E41 D43:E45 E48">
    <cfRule type="containsText" dxfId="24" priority="1" operator="containsText" text="Religious Leave">
      <formula>NOT(ISERROR(SEARCH("Religious Leave",D40)))</formula>
    </cfRule>
    <cfRule type="containsText" dxfId="23" priority="2" operator="containsText" text="Birthday Leave">
      <formula>NOT(ISERROR(SEARCH("Birthday Leave",D40)))</formula>
    </cfRule>
    <cfRule type="containsText" dxfId="22" priority="3" operator="containsText" text="Study Leave">
      <formula>NOT(ISERROR(SEARCH("Study Leave",D40)))</formula>
    </cfRule>
    <cfRule type="containsText" dxfId="21" priority="4" operator="containsText" text="Family Responsibility Leave">
      <formula>NOT(ISERROR(SEARCH("Family Responsibility Leave",D40)))</formula>
    </cfRule>
    <cfRule type="containsText" dxfId="20" priority="5" operator="containsText" text="Sick Leave">
      <formula>NOT(ISERROR(SEARCH("Sick Leave",D40)))</formula>
    </cfRule>
    <cfRule type="containsText" dxfId="19" priority="6" operator="containsText" text="Annual Leave">
      <formula>NOT(ISERROR(SEARCH("Annual Leave",D40)))</formula>
    </cfRule>
    <cfRule type="cellIs" dxfId="18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7" priority="14" operator="containsText" text="Religious Leave">
      <formula>NOT(ISERROR(SEARCH("Religious Leave",A6)))</formula>
    </cfRule>
    <cfRule type="containsText" dxfId="16" priority="15" operator="containsText" text="Birthday Leave">
      <formula>NOT(ISERROR(SEARCH("Birthday Leave",A6)))</formula>
    </cfRule>
    <cfRule type="containsText" dxfId="15" priority="16" operator="containsText" text="Study Leave">
      <formula>NOT(ISERROR(SEARCH("Study Leave",A6)))</formula>
    </cfRule>
    <cfRule type="containsText" dxfId="14" priority="17" operator="containsText" text="Family Responsibility Leave">
      <formula>NOT(ISERROR(SEARCH("Family Responsibility Leave",A6)))</formula>
    </cfRule>
    <cfRule type="containsText" dxfId="13" priority="18" operator="containsText" text="Sick Leave">
      <formula>NOT(ISERROR(SEARCH("Sick Leave",A6)))</formula>
    </cfRule>
    <cfRule type="containsText" dxfId="12" priority="19" operator="containsText" text="Annual Leave">
      <formula>NOT(ISERROR(SEARCH("Annual Leave",A6)))</formula>
    </cfRule>
    <cfRule type="cellIs" dxfId="11" priority="20" operator="equal">
      <formula>"Public Holiday"</formula>
    </cfRule>
  </conditionalFormatting>
  <conditionalFormatting sqref="B7:B48">
    <cfRule type="containsText" dxfId="10" priority="8" operator="containsText" text="Saturday">
      <formula>NOT(ISERROR(SEARCH("Saturday",B7)))</formula>
    </cfRule>
    <cfRule type="containsText" dxfId="9" priority="9" operator="containsText" text="Sunday">
      <formula>NOT(ISERROR(SEARCH("Sunday",B7)))</formula>
    </cfRule>
  </conditionalFormatting>
  <conditionalFormatting sqref="D42:E44 E47">
    <cfRule type="containsText" dxfId="8" priority="1" operator="containsText" text="Religious Leave">
      <formula>NOT(ISERROR(SEARCH("Religious Leave",D42)))</formula>
    </cfRule>
    <cfRule type="containsText" dxfId="7" priority="2" operator="containsText" text="Birthday Leave">
      <formula>NOT(ISERROR(SEARCH("Birthday Leave",D42)))</formula>
    </cfRule>
    <cfRule type="containsText" dxfId="6" priority="3" operator="containsText" text="Study Leave">
      <formula>NOT(ISERROR(SEARCH("Study Leave",D42)))</formula>
    </cfRule>
    <cfRule type="containsText" dxfId="5" priority="4" operator="containsText" text="Family Responsibility Leave">
      <formula>NOT(ISERROR(SEARCH("Family Responsibility Leave",D42)))</formula>
    </cfRule>
    <cfRule type="containsText" dxfId="4" priority="5" operator="containsText" text="Sick Leave">
      <formula>NOT(ISERROR(SEARCH("Sick Leave",D42)))</formula>
    </cfRule>
    <cfRule type="containsText" dxfId="3" priority="6" operator="containsText" text="Annual Leave">
      <formula>NOT(ISERROR(SEARCH("Annual Leave",D42)))</formula>
    </cfRule>
    <cfRule type="cellIs" dxfId="2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2" t="s">
        <v>167</v>
      </c>
      <c r="C9" s="133"/>
      <c r="D9" s="132" t="s">
        <v>94</v>
      </c>
      <c r="E9" s="133"/>
      <c r="F9" s="83" t="s">
        <v>95</v>
      </c>
    </row>
    <row r="10" spans="1:15" x14ac:dyDescent="0.2">
      <c r="A10" s="78">
        <v>46113</v>
      </c>
      <c r="B10" s="134" t="s">
        <v>168</v>
      </c>
      <c r="C10" s="134"/>
      <c r="D10" s="134" t="s">
        <v>123</v>
      </c>
      <c r="E10" s="134"/>
      <c r="F10" s="77">
        <v>200</v>
      </c>
      <c r="G10" s="130" t="s">
        <v>169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78">
        <v>46113</v>
      </c>
      <c r="B11" s="136" t="s">
        <v>171</v>
      </c>
      <c r="C11" s="137"/>
      <c r="D11" s="134" t="s">
        <v>128</v>
      </c>
      <c r="E11" s="134"/>
      <c r="F11" s="77"/>
    </row>
    <row r="12" spans="1:15" x14ac:dyDescent="0.2">
      <c r="A12" s="78">
        <v>46113</v>
      </c>
      <c r="B12" s="136" t="s">
        <v>172</v>
      </c>
      <c r="C12" s="137"/>
      <c r="D12" s="134"/>
      <c r="E12" s="134"/>
      <c r="F12" s="77"/>
    </row>
    <row r="13" spans="1:15" x14ac:dyDescent="0.2">
      <c r="A13" s="78">
        <v>46113</v>
      </c>
      <c r="B13" s="136"/>
      <c r="C13" s="137"/>
      <c r="D13" s="134"/>
      <c r="E13" s="134"/>
      <c r="F13" s="77"/>
    </row>
    <row r="14" spans="1:15" x14ac:dyDescent="0.2">
      <c r="A14" s="78">
        <v>46113</v>
      </c>
      <c r="B14" s="136"/>
      <c r="C14" s="137"/>
      <c r="D14" s="134"/>
      <c r="E14" s="134"/>
      <c r="F14" s="77"/>
    </row>
    <row r="15" spans="1:15" x14ac:dyDescent="0.2">
      <c r="A15" s="78">
        <v>46113</v>
      </c>
      <c r="B15" s="141"/>
      <c r="C15" s="142"/>
      <c r="D15" s="134"/>
      <c r="E15" s="134"/>
      <c r="F15" s="77"/>
    </row>
    <row r="16" spans="1:15" ht="13.5" thickBot="1" x14ac:dyDescent="0.25">
      <c r="A16" s="78">
        <v>46113</v>
      </c>
      <c r="B16" s="136"/>
      <c r="C16" s="137"/>
      <c r="D16" s="134"/>
      <c r="E16" s="134"/>
      <c r="F16" s="77"/>
    </row>
    <row r="17" spans="1:6" ht="13.5" customHeight="1" thickBot="1" x14ac:dyDescent="0.25">
      <c r="A17" s="138" t="s">
        <v>96</v>
      </c>
      <c r="B17" s="139"/>
      <c r="C17" s="139"/>
      <c r="D17" s="139"/>
      <c r="E17" s="140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46094</v>
      </c>
      <c r="C11" s="117">
        <v>46095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63A318-B8F3-4B89-93AD-D5D80D19F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F64187-8300-4B72-BC78-4EA8CE42E9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98A285-2EB1-499B-BF89-1E169B4148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2026-06-19T12:56:08Z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