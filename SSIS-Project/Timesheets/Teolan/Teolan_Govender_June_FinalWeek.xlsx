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teolan_govender_sambeconsulting_com/Documents/Documents/Timesheets and Leave/"/>
    </mc:Choice>
  </mc:AlternateContent>
  <xr:revisionPtr revIDLastSave="2114" documentId="13_ncr:1_{18456319-F974-4A60-AFC5-4E049C41B553}" xr6:coauthVersionLast="47" xr6:coauthVersionMax="47" xr10:uidLastSave="{C9A0B388-FAE1-443C-B266-F1AF40ADABBE}"/>
  <bookViews>
    <workbookView xWindow="-120" yWindow="-120" windowWidth="29040" windowHeight="15720" activeTab="2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41" i="3" l="1"/>
  <c r="H136" i="3"/>
  <c r="H137" i="3"/>
  <c r="H138" i="3"/>
  <c r="H139" i="3"/>
  <c r="H140" i="3"/>
  <c r="H142" i="3"/>
  <c r="H143" i="3"/>
  <c r="H144" i="3"/>
  <c r="H145" i="3"/>
  <c r="H146" i="3"/>
  <c r="H123" i="3"/>
  <c r="H131" i="3"/>
  <c r="H115" i="3"/>
  <c r="H116" i="3"/>
  <c r="H117" i="3"/>
  <c r="H118" i="3"/>
  <c r="H119" i="3"/>
  <c r="H120" i="3"/>
  <c r="H121" i="3"/>
  <c r="H122" i="3"/>
  <c r="H124" i="3"/>
  <c r="H125" i="3"/>
  <c r="H126" i="3"/>
  <c r="H127" i="3"/>
  <c r="H128" i="3"/>
  <c r="H129" i="3"/>
  <c r="H130" i="3"/>
  <c r="H112" i="3"/>
  <c r="H105" i="3"/>
  <c r="H109" i="3"/>
  <c r="H110" i="3"/>
  <c r="H111" i="3"/>
  <c r="H113" i="3"/>
  <c r="H106" i="3"/>
  <c r="H79" i="3"/>
  <c r="H80" i="3"/>
  <c r="H102" i="3"/>
  <c r="H103" i="3"/>
  <c r="H104" i="3"/>
  <c r="H107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78" i="3"/>
  <c r="H77" i="3"/>
  <c r="H76" i="3"/>
  <c r="H70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1" i="3"/>
  <c r="H72" i="3"/>
  <c r="H53" i="3"/>
  <c r="H52" i="3"/>
  <c r="H51" i="3"/>
  <c r="H49" i="3"/>
  <c r="H44" i="3"/>
  <c r="H45" i="3"/>
  <c r="H46" i="3"/>
  <c r="H47" i="3"/>
  <c r="H48" i="3"/>
  <c r="H35" i="3"/>
  <c r="H36" i="3"/>
  <c r="H37" i="3"/>
  <c r="H38" i="3"/>
  <c r="H39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10" i="3"/>
  <c r="H11" i="3"/>
  <c r="H12" i="3"/>
  <c r="H13" i="3"/>
  <c r="H14" i="3"/>
  <c r="H15" i="3"/>
  <c r="H16" i="3"/>
  <c r="H102" i="1"/>
  <c r="H110" i="1"/>
  <c r="H111" i="1"/>
  <c r="H112" i="1"/>
  <c r="H113" i="1"/>
  <c r="H114" i="1"/>
  <c r="H101" i="1"/>
  <c r="H104" i="1"/>
  <c r="H105" i="1"/>
  <c r="H106" i="1"/>
  <c r="H107" i="1"/>
  <c r="H108" i="1"/>
  <c r="H109" i="1"/>
  <c r="H94" i="1"/>
  <c r="H95" i="1"/>
  <c r="H96" i="1"/>
  <c r="H97" i="1"/>
  <c r="H98" i="1"/>
  <c r="H99" i="1"/>
  <c r="H92" i="1"/>
  <c r="H89" i="1"/>
  <c r="H90" i="1"/>
  <c r="H91" i="1"/>
  <c r="H82" i="1"/>
  <c r="H83" i="1"/>
  <c r="H84" i="1"/>
  <c r="H85" i="1"/>
  <c r="H86" i="1"/>
  <c r="H87" i="1"/>
  <c r="H73" i="1"/>
  <c r="H74" i="1"/>
  <c r="H75" i="1"/>
  <c r="H76" i="1"/>
  <c r="H77" i="1"/>
  <c r="H64" i="1"/>
  <c r="H65" i="1"/>
  <c r="H60" i="1"/>
  <c r="H61" i="1"/>
  <c r="H62" i="1"/>
  <c r="H63" i="1"/>
  <c r="H67" i="1"/>
  <c r="H68" i="1"/>
  <c r="H69" i="1"/>
  <c r="H70" i="1"/>
  <c r="H71" i="1"/>
  <c r="H72" i="1"/>
  <c r="H58" i="1"/>
  <c r="H54" i="1"/>
  <c r="H55" i="1"/>
  <c r="H56" i="1"/>
  <c r="H57" i="1"/>
  <c r="H48" i="1"/>
  <c r="H49" i="1"/>
  <c r="H50" i="1"/>
  <c r="H51" i="1"/>
  <c r="H52" i="1"/>
  <c r="H34" i="1"/>
  <c r="H35" i="1"/>
  <c r="H36" i="1"/>
  <c r="H37" i="1"/>
  <c r="H38" i="1"/>
  <c r="H39" i="1"/>
  <c r="H40" i="1"/>
  <c r="H41" i="1"/>
  <c r="H42" i="1"/>
  <c r="H43" i="1"/>
  <c r="H20" i="1"/>
  <c r="H21" i="1"/>
  <c r="H22" i="1"/>
  <c r="H23" i="1"/>
  <c r="H24" i="1"/>
  <c r="H25" i="1"/>
  <c r="H26" i="1"/>
  <c r="H27" i="1"/>
  <c r="H28" i="1"/>
  <c r="H29" i="1"/>
  <c r="H30" i="1"/>
  <c r="H31" i="1"/>
  <c r="H124" i="10"/>
  <c r="H142" i="10"/>
  <c r="H141" i="10"/>
  <c r="H135" i="10"/>
  <c r="H134" i="10"/>
  <c r="H128" i="10"/>
  <c r="H126" i="10"/>
  <c r="H121" i="10"/>
  <c r="H131" i="10"/>
  <c r="H132" i="10"/>
  <c r="H130" i="10"/>
  <c r="H138" i="10"/>
  <c r="H140" i="10"/>
  <c r="H123" i="10"/>
  <c r="H125" i="10"/>
  <c r="H127" i="10"/>
  <c r="H143" i="10"/>
  <c r="H139" i="10"/>
  <c r="H137" i="10"/>
  <c r="H136" i="10"/>
  <c r="H133" i="10"/>
  <c r="H129" i="10"/>
  <c r="H122" i="10"/>
  <c r="H113" i="10"/>
  <c r="H114" i="10"/>
  <c r="H115" i="10"/>
  <c r="H112" i="10"/>
  <c r="H103" i="10"/>
  <c r="H104" i="10"/>
  <c r="H105" i="10"/>
  <c r="H106" i="10"/>
  <c r="H107" i="10"/>
  <c r="H108" i="10"/>
  <c r="H109" i="10"/>
  <c r="H110" i="10"/>
  <c r="H111" i="10"/>
  <c r="H99" i="10"/>
  <c r="H100" i="10"/>
  <c r="H101" i="10"/>
  <c r="H102" i="10"/>
  <c r="H97" i="10"/>
  <c r="H92" i="10"/>
  <c r="H93" i="10"/>
  <c r="H94" i="10"/>
  <c r="H95" i="10"/>
  <c r="H96" i="10"/>
  <c r="H89" i="10"/>
  <c r="H90" i="10"/>
  <c r="H85" i="10"/>
  <c r="H86" i="10"/>
  <c r="H87" i="10"/>
  <c r="H88" i="10"/>
  <c r="H75" i="10"/>
  <c r="H76" i="10"/>
  <c r="H77" i="10"/>
  <c r="H78" i="10"/>
  <c r="H79" i="10"/>
  <c r="H74" i="10"/>
  <c r="H73" i="10"/>
  <c r="H72" i="10"/>
  <c r="H71" i="10"/>
  <c r="H70" i="10"/>
  <c r="H69" i="10"/>
  <c r="H63" i="10"/>
  <c r="H64" i="10"/>
  <c r="H65" i="10"/>
  <c r="H66" i="10"/>
  <c r="H67" i="10"/>
  <c r="H68" i="10"/>
  <c r="H54" i="10"/>
  <c r="H58" i="10"/>
  <c r="H59" i="10"/>
  <c r="H60" i="10"/>
  <c r="H61" i="10"/>
  <c r="H62" i="10"/>
  <c r="H52" i="10"/>
  <c r="H53" i="10"/>
  <c r="H55" i="10"/>
  <c r="H56" i="10"/>
  <c r="H45" i="10"/>
  <c r="H46" i="10"/>
  <c r="H47" i="10"/>
  <c r="H48" i="10"/>
  <c r="H39" i="10"/>
  <c r="H40" i="10"/>
  <c r="H41" i="10"/>
  <c r="H42" i="10"/>
  <c r="H43" i="10"/>
  <c r="H44" i="10"/>
  <c r="H37" i="10"/>
  <c r="H32" i="10"/>
  <c r="H33" i="10"/>
  <c r="H34" i="10"/>
  <c r="H35" i="10"/>
  <c r="H36" i="10"/>
  <c r="H26" i="10"/>
  <c r="H27" i="10"/>
  <c r="H28" i="10"/>
  <c r="H29" i="10"/>
  <c r="H30" i="10"/>
  <c r="H31" i="10"/>
  <c r="H15" i="10"/>
  <c r="H16" i="10"/>
  <c r="H17" i="10"/>
  <c r="H18" i="10"/>
  <c r="H19" i="10"/>
  <c r="H10" i="10"/>
  <c r="H11" i="10"/>
  <c r="H12" i="10"/>
  <c r="H13" i="10"/>
  <c r="H14" i="10"/>
  <c r="H9" i="6" l="1"/>
  <c r="H11" i="5"/>
  <c r="H9" i="3"/>
  <c r="F148" i="10"/>
  <c r="H21" i="10"/>
  <c r="H24" i="10"/>
  <c r="H22" i="10"/>
  <c r="H9" i="10"/>
  <c r="F44" i="6"/>
  <c r="F45" i="4"/>
  <c r="F44" i="4"/>
  <c r="F152" i="3"/>
  <c r="F43" i="6"/>
  <c r="H32" i="6"/>
  <c r="F45" i="5"/>
  <c r="F44" i="5"/>
  <c r="H9" i="5"/>
  <c r="H37" i="5"/>
  <c r="H38" i="5"/>
  <c r="H39" i="5"/>
  <c r="H9" i="4"/>
  <c r="H10" i="1"/>
  <c r="H117" i="1"/>
  <c r="H39" i="4"/>
  <c r="H15" i="1"/>
  <c r="D14" i="9"/>
  <c r="F17" i="8"/>
  <c r="B6" i="8" s="1"/>
  <c r="H120" i="10" l="1"/>
  <c r="H119" i="10"/>
  <c r="H118" i="10"/>
  <c r="H117" i="10"/>
  <c r="H116" i="10"/>
  <c r="H98" i="10"/>
  <c r="H91" i="10"/>
  <c r="H84" i="10"/>
  <c r="H82" i="10"/>
  <c r="H81" i="10"/>
  <c r="H80" i="10"/>
  <c r="H57" i="10"/>
  <c r="H51" i="10"/>
  <c r="H50" i="10"/>
  <c r="H49" i="10"/>
  <c r="H38" i="10"/>
  <c r="H25" i="10"/>
  <c r="H23" i="10"/>
  <c r="H20" i="10"/>
  <c r="H108" i="3"/>
  <c r="F149" i="10" l="1"/>
  <c r="F150" i="10" s="1"/>
  <c r="B6" i="10"/>
  <c r="H12" i="4"/>
  <c r="H10" i="4"/>
  <c r="H11" i="4"/>
  <c r="H114" i="3"/>
  <c r="H11" i="1"/>
  <c r="H10" i="5"/>
  <c r="H9" i="1" l="1"/>
  <c r="H17" i="4"/>
  <c r="H18" i="4"/>
  <c r="H16" i="4"/>
  <c r="H15" i="4"/>
  <c r="H14" i="4"/>
  <c r="H13" i="4"/>
  <c r="H147" i="3"/>
  <c r="H135" i="3"/>
  <c r="H134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41" i="3"/>
  <c r="H42" i="3"/>
  <c r="H43" i="3"/>
  <c r="H50" i="3"/>
  <c r="H73" i="3"/>
  <c r="H74" i="3"/>
  <c r="H75" i="3"/>
  <c r="H81" i="3"/>
  <c r="H82" i="3"/>
  <c r="H98" i="3"/>
  <c r="H99" i="3"/>
  <c r="H100" i="3"/>
  <c r="H101" i="3"/>
  <c r="H132" i="3"/>
  <c r="H133" i="3"/>
  <c r="H12" i="1"/>
  <c r="H13" i="1"/>
  <c r="H14" i="1"/>
  <c r="H16" i="1"/>
  <c r="H17" i="1"/>
  <c r="H18" i="1"/>
  <c r="H19" i="1"/>
  <c r="H32" i="1"/>
  <c r="H33" i="1"/>
  <c r="H44" i="1"/>
  <c r="H45" i="1"/>
  <c r="H46" i="1"/>
  <c r="H47" i="1"/>
  <c r="H53" i="1"/>
  <c r="H59" i="1"/>
  <c r="H78" i="1"/>
  <c r="H79" i="1"/>
  <c r="H80" i="1"/>
  <c r="H81" i="1"/>
  <c r="H88" i="1"/>
  <c r="H93" i="1"/>
  <c r="H100" i="1"/>
  <c r="H115" i="1"/>
  <c r="H116" i="1"/>
  <c r="F122" i="1" l="1"/>
  <c r="F123" i="1"/>
  <c r="H10" i="6"/>
  <c r="H11" i="6"/>
  <c r="H12" i="6"/>
  <c r="H40" i="3"/>
  <c r="F153" i="3" s="1"/>
  <c r="F46" i="4" l="1"/>
  <c r="F46" i="5"/>
  <c r="F45" i="6"/>
  <c r="B6" i="6"/>
  <c r="B6" i="5"/>
  <c r="B6" i="4"/>
  <c r="F154" i="3"/>
  <c r="B6" i="3"/>
  <c r="F124" i="1"/>
  <c r="B6" i="1"/>
</calcChain>
</file>

<file path=xl/sharedStrings.xml><?xml version="1.0" encoding="utf-8"?>
<sst xmlns="http://schemas.openxmlformats.org/spreadsheetml/2006/main" count="2236" uniqueCount="299">
  <si>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</si>
  <si>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</si>
  <si>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</si>
  <si>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</si>
  <si>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</si>
  <si>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</si>
  <si>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</si>
  <si>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</si>
  <si>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</si>
  <si>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</si>
  <si>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</si>
  <si>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</si>
  <si>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</si>
  <si>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</si>
  <si>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</si>
  <si>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</si>
  <si>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</si>
  <si>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</si>
  <si>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</si>
  <si>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</si>
  <si>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</si>
  <si>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</si>
  <si>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</si>
  <si>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</si>
  <si>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</si>
  <si>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</si>
  <si>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</si>
  <si>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</si>
  <si>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</si>
  <si>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</si>
  <si>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</si>
  <si>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</si>
  <si>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</si>
  <si>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</si>
  <si>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</si>
  <si>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</si>
  <si>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</si>
  <si>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</si>
  <si>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</si>
  <si>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</si>
  <si>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</si>
  <si>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</si>
  <si>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</si>
  <si>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</si>
  <si>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</si>
  <si>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</si>
  <si>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</si>
  <si>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</si>
  <si>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</si>
  <si>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</si>
  <si>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</si>
  <si>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</si>
  <si>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</si>
  <si>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</si>
  <si>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</si>
  <si>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</si>
  <si>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</si>
  <si>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</si>
  <si>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</si>
  <si>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</si>
  <si>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</si>
  <si>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</si>
  <si>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</si>
  <si>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</si>
  <si>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</si>
  <si>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</si>
  <si>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</si>
  <si>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</si>
  <si>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</si>
  <si>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</si>
  <si>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</si>
  <si>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</si>
  <si>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</si>
  <si>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</si>
  <si>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</si>
  <si>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</si>
  <si>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</si>
  <si>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</si>
  <si>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</si>
  <si>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</si>
  <si>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</si>
  <si>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</si>
  <si>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</si>
  <si>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</si>
  <si>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</si>
  <si>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</si>
  <si>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</si>
  <si>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</si>
  <si>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</si>
  <si>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</si>
  <si>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</si>
  <si>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</si>
  <si>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</si>
  <si>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</si>
  <si>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</si>
  <si>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</si>
  <si>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</si>
  <si>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</si>
  <si>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</si>
  <si>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</si>
  <si>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</si>
  <si>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</si>
  <si>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</si>
  <si>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</si>
  <si>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</si>
  <si>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</si>
  <si>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Example</t>
  </si>
  <si>
    <t>Detailed Description of task(s) done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</si>
  <si>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</si>
  <si>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</si>
  <si>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</si>
  <si>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</si>
  <si>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</si>
  <si>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</si>
  <si>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</si>
  <si>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</si>
  <si>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</si>
  <si>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</si>
  <si>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</si>
  <si>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</si>
  <si>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</si>
  <si>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</si>
  <si>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</si>
  <si>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</si>
  <si>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</si>
  <si>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</si>
  <si>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</si>
  <si>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</si>
  <si>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WiFi / Internet / Data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</si>
  <si>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</si>
  <si>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</si>
  <si>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</si>
  <si>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</si>
  <si>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</si>
  <si>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</si>
  <si>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</si>
  <si>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</si>
  <si>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</si>
  <si>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</si>
  <si>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</si>
  <si>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</si>
  <si>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</si>
  <si>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</si>
  <si>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</si>
  <si>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</si>
  <si>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</si>
  <si>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</si>
  <si>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</si>
  <si>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</si>
  <si>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</si>
  <si>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</si>
  <si>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</si>
  <si>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</si>
  <si>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</si>
  <si>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</si>
  <si>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</si>
  <si>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</si>
  <si>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</si>
  <si>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</si>
  <si>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</si>
  <si>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</si>
  <si>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</si>
  <si>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</si>
  <si>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</si>
  <si>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</si>
  <si>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</si>
  <si>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</si>
  <si>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</si>
  <si>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</si>
  <si>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</si>
  <si>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</si>
  <si>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</si>
  <si>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</si>
  <si>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</si>
  <si>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</si>
  <si>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</si>
  <si>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</si>
  <si>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>Good Friday</t>
  </si>
  <si>
    <t>Family Day</t>
  </si>
  <si>
    <t xml:space="preserve">Freedom Day </t>
  </si>
  <si>
    <t>Worker's Day</t>
  </si>
  <si>
    <t>Youth Day</t>
  </si>
  <si>
    <t>National Women's Day</t>
  </si>
  <si>
    <t>Heritage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</si>
  <si>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</si>
  <si>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</si>
  <si>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</si>
  <si>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</si>
  <si>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</si>
  <si>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</si>
  <si>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</si>
  <si>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</si>
  <si>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</si>
  <si>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</si>
  <si>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NA</t>
  </si>
  <si>
    <t>Thapelo</t>
  </si>
  <si>
    <t>Sanlam</t>
  </si>
  <si>
    <t>Life Healthcare</t>
  </si>
  <si>
    <t>Elrida</t>
  </si>
  <si>
    <t>National Women's Day Obs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</si>
  <si>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</si>
  <si>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</si>
  <si>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</si>
  <si>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</si>
  <si>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</si>
  <si>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</si>
  <si>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</si>
  <si>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</si>
  <si>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</si>
  <si>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</si>
  <si>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</si>
  <si>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</si>
  <si>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</si>
  <si>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</si>
  <si>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</si>
  <si>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</si>
  <si>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</si>
  <si>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</si>
  <si>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</si>
  <si>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</si>
  <si>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</si>
  <si>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Learning</t>
  </si>
  <si>
    <t>Joined stand up meeting with Clement</t>
  </si>
  <si>
    <t>Midday Check-in meeting with Clement</t>
  </si>
  <si>
    <t>Join retrospective meeting with Bongani</t>
  </si>
  <si>
    <t>Began work on Python course</t>
  </si>
  <si>
    <t>Continued work on Python course</t>
  </si>
  <si>
    <t>Started with GitHub Actions course</t>
  </si>
  <si>
    <t>Finished off python course</t>
  </si>
  <si>
    <t>Continued with GitHub Actions course</t>
  </si>
  <si>
    <t>Begun with project, accomplished environment setup and dataset familiarization</t>
  </si>
  <si>
    <t>Continued with environment setup</t>
  </si>
  <si>
    <t>Continued with GithHub Course</t>
  </si>
  <si>
    <t>Continued with project, Began building data cleaning code in python</t>
  </si>
  <si>
    <t>Continued with project</t>
  </si>
  <si>
    <t>Continued with project, started creating excel pivot tables</t>
  </si>
  <si>
    <t>Continued with project dashboard</t>
  </si>
  <si>
    <t>Continued with project report</t>
  </si>
  <si>
    <t>Continued with project, refined excel pivot tables, dashboard and report</t>
  </si>
  <si>
    <t>Continued with project, started working on presentation</t>
  </si>
  <si>
    <t>Continued with project, refined presentation and report</t>
  </si>
  <si>
    <t>Continued with project, Refined documentation</t>
  </si>
  <si>
    <t>13/05/2026</t>
  </si>
  <si>
    <t>14/05/2026</t>
  </si>
  <si>
    <t>0614179614 - teolan.govender@gmail.com</t>
  </si>
  <si>
    <t>T.Govender</t>
  </si>
  <si>
    <t>Continued work on GitHub Actions course</t>
  </si>
  <si>
    <t>Joined meeting with Shaila and Angela to present elavator pitch</t>
  </si>
  <si>
    <t>Shaila and grad monthly check-in meeting</t>
  </si>
  <si>
    <t>Met with the team to discuss project presentation</t>
  </si>
  <si>
    <t>Polished and completed work on GitHub Actions course</t>
  </si>
  <si>
    <t>Improved presentation based on feedback</t>
  </si>
  <si>
    <t>Worked on Database administrations course</t>
  </si>
  <si>
    <t>Polished project presentation</t>
  </si>
  <si>
    <t>Practiced presentation</t>
  </si>
  <si>
    <t>1 on 1 meeting with Clement</t>
  </si>
  <si>
    <t>1 on 1 meeting with Bongani</t>
  </si>
  <si>
    <t>Joined presentation meeting with management team</t>
  </si>
  <si>
    <t>Began work on Database administrations course</t>
  </si>
  <si>
    <t>Met with the team to do a trial presentation</t>
  </si>
  <si>
    <t>Worked on database administration course</t>
  </si>
  <si>
    <t>Continued work on database administrations course</t>
  </si>
  <si>
    <t>Met with team for final trial run of project presentation</t>
  </si>
  <si>
    <t>Met with team to discuss Project</t>
  </si>
  <si>
    <t>Discovery Induction</t>
  </si>
  <si>
    <t>Started work on SSIS course</t>
  </si>
  <si>
    <t>Continued work SSIS course</t>
  </si>
  <si>
    <t>Continued work on SSIS course</t>
  </si>
  <si>
    <t>Met with the team to discuss our dashboard presentations</t>
  </si>
  <si>
    <t>Worked on Dashboard</t>
  </si>
  <si>
    <t>Started work on T-SQL course</t>
  </si>
  <si>
    <t>Continued work on T-SQL course</t>
  </si>
  <si>
    <t>Joined Dashboard Presentation meeting with Shaila and Bhavesh</t>
  </si>
  <si>
    <t>Joined 2nd Dashboard Presentation meeting with Shaila and Bhavesh</t>
  </si>
  <si>
    <t>Joined treasury connect - Internal training meeting</t>
  </si>
  <si>
    <t>Midday Check-in meeting</t>
  </si>
  <si>
    <t>Insights from previous grads meeting</t>
  </si>
  <si>
    <t>Started work on Effective Communication course</t>
  </si>
  <si>
    <t>Continued work on Effective Communication course</t>
  </si>
  <si>
    <t>Started GitHub Pull Request Notification Integration with Microsoft Teams Project</t>
  </si>
  <si>
    <t>Met with accountablility partner to discuss and work on new project</t>
  </si>
  <si>
    <t>Continued worked on new project - setup tunneling server</t>
  </si>
  <si>
    <t>Continued worked on new project - implemented notifications</t>
  </si>
  <si>
    <t>Started SSIS Course</t>
  </si>
  <si>
    <t>Joined stand up meeting with Clement - received new SQL project and new SSIS course</t>
  </si>
  <si>
    <t>Research and continued worked on new project - setup tunneling server</t>
  </si>
  <si>
    <t>Continued worked on new project - Setup in Github</t>
  </si>
  <si>
    <t>Continued worked on new project - setup Workflow without notifications</t>
  </si>
  <si>
    <t>Continued worked on new project - started implementing GitHub Templates</t>
  </si>
  <si>
    <t>Continued worked on new project - Continued implementing GitHub Templates</t>
  </si>
  <si>
    <t>Continued worked on new project - Implementing staging and development environments</t>
  </si>
  <si>
    <t>Started work on DevOps course</t>
  </si>
  <si>
    <t>Join retrospective meeting with Bongani - received DevOps Course</t>
  </si>
  <si>
    <t>Continued work on SSIS Course</t>
  </si>
  <si>
    <t>Started new SSIS Timesheet Project</t>
  </si>
  <si>
    <t>Continued SSIS Timesheet Project</t>
  </si>
  <si>
    <t xml:space="preserve">Join retrospective meeting with Bongani </t>
  </si>
  <si>
    <t>Started work on Soft skills course</t>
  </si>
  <si>
    <t>Continued work on Soft skills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</si>
</sst>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0" fontId="15" fillId="9" borderId="46" xfId="0" applyFont="1" applyFill="1" applyBorder="1"/>
    <xf numFmtId="20" fontId="4" fillId="0" borderId="0" xfId="0" applyNumberFormat="1" applyFont="1"/>
    <xf numFmtId="20" fontId="4" fillId="0" borderId="47" xfId="0" applyNumberFormat="1" applyFont="1" applyBorder="1"/>
    <xf numFmtId="20" fontId="4" fillId="0" borderId="48" xfId="0" applyNumberFormat="1" applyFont="1" applyBorder="1"/>
    <xf numFmtId="20" fontId="4" fillId="0" borderId="6" xfId="0" applyNumberFormat="1" applyFont="1" applyBorder="1"/>
    <xf numFmtId="20" fontId="4" fillId="0" borderId="6" xfId="0" applyNumberFormat="1" applyFont="1" applyBorder="1" applyAlignment="1">
      <alignment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5" fontId="4" fillId="0" borderId="28" xfId="0" applyNumberFormat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0302" cy="59085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102" dataDxfId="10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1" totalsRowShown="0" headerRowDxfId="99" dataDxfId="98" tableBorderDxfId="97">
  <autoFilter ref="F2:F41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153"/>
  <sheetViews>
    <sheetView view="pageBreakPreview" zoomScaleNormal="75" zoomScaleSheetLayoutView="100" workbookViewId="0">
      <selection activeCell="G136" sqref="G136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H5" s="40"/>
    </row>
    <row r="6" spans="1:10" x14ac:dyDescent="0.2">
      <c r="A6" s="37" t="s">
        <v>93</v>
      </c>
      <c r="B6" s="72">
        <f>F148</f>
        <v>0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46113</v>
      </c>
      <c r="B9" s="22" t="s">
        <v>19</v>
      </c>
      <c r="C9" s="27" t="s">
        <v>125</v>
      </c>
      <c r="D9" s="27"/>
      <c r="E9" s="27" t="s">
        <v>62</v>
      </c>
      <c r="F9" s="27" t="s">
        <v>15</v>
      </c>
      <c r="G9" s="28" t="s">
        <v>222</v>
      </c>
      <c r="H9" s="29">
        <f>J9-I9</f>
        <v>1.1805555555555569E-2</v>
      </c>
      <c r="I9" s="30">
        <v>0.33333333333333331</v>
      </c>
      <c r="J9" s="30">
        <v>0.34513888888888888</v>
      </c>
    </row>
    <row r="10" spans="1:10" x14ac:dyDescent="0.2">
      <c r="A10" s="22">
        <v>46113</v>
      </c>
      <c r="B10" s="22" t="s">
        <v>19</v>
      </c>
      <c r="C10" s="27" t="s">
        <v>125</v>
      </c>
      <c r="D10" s="27"/>
      <c r="E10" s="27" t="s">
        <v>221</v>
      </c>
      <c r="F10" s="27" t="s">
        <v>15</v>
      </c>
      <c r="G10" s="28" t="s">
        <v>225</v>
      </c>
      <c r="H10" s="29">
        <f t="shared" ref="H10:H19" si="0">J10-I10</f>
        <v>0.11319444444444443</v>
      </c>
      <c r="I10" s="30">
        <v>0.34513888888888888</v>
      </c>
      <c r="J10" s="30">
        <v>0.45833333333333331</v>
      </c>
    </row>
    <row r="11" spans="1:10" x14ac:dyDescent="0.2">
      <c r="A11" s="22">
        <v>46113</v>
      </c>
      <c r="B11" s="22" t="s">
        <v>19</v>
      </c>
      <c r="C11" s="27" t="s">
        <v>125</v>
      </c>
      <c r="D11" s="27"/>
      <c r="E11" s="27" t="s">
        <v>221</v>
      </c>
      <c r="F11" s="27" t="s">
        <v>15</v>
      </c>
      <c r="G11" s="28" t="s">
        <v>223</v>
      </c>
      <c r="H11" s="29">
        <f t="shared" si="0"/>
        <v>2.777777777777779E-2</v>
      </c>
      <c r="I11" s="30">
        <v>0.45833333333333331</v>
      </c>
      <c r="J11" s="30">
        <v>0.4861111111111111</v>
      </c>
    </row>
    <row r="12" spans="1:10" x14ac:dyDescent="0.2">
      <c r="A12" s="22">
        <v>46113</v>
      </c>
      <c r="B12" s="22" t="s">
        <v>19</v>
      </c>
      <c r="C12" s="27" t="s">
        <v>125</v>
      </c>
      <c r="D12" s="27"/>
      <c r="E12" s="27" t="s">
        <v>62</v>
      </c>
      <c r="F12" s="27" t="s">
        <v>15</v>
      </c>
      <c r="G12" s="28" t="s">
        <v>226</v>
      </c>
      <c r="H12" s="29">
        <f t="shared" si="0"/>
        <v>3.4722222222222265E-2</v>
      </c>
      <c r="I12" s="30">
        <v>0.4861111111111111</v>
      </c>
      <c r="J12" s="30">
        <v>0.52083333333333337</v>
      </c>
    </row>
    <row r="13" spans="1:10" x14ac:dyDescent="0.2">
      <c r="A13" s="22">
        <v>46113</v>
      </c>
      <c r="B13" s="22" t="s">
        <v>19</v>
      </c>
      <c r="C13" s="27" t="s">
        <v>125</v>
      </c>
      <c r="D13" s="27"/>
      <c r="E13" s="27" t="s">
        <v>221</v>
      </c>
      <c r="F13" s="27" t="s">
        <v>15</v>
      </c>
      <c r="G13" s="28" t="s">
        <v>226</v>
      </c>
      <c r="H13" s="29">
        <f t="shared" si="0"/>
        <v>0.10416666666666663</v>
      </c>
      <c r="I13" s="30">
        <v>0.5625</v>
      </c>
      <c r="J13" s="30">
        <v>0.66666666666666663</v>
      </c>
    </row>
    <row r="14" spans="1:10" ht="25.5" x14ac:dyDescent="0.2">
      <c r="A14" s="22">
        <v>46113</v>
      </c>
      <c r="B14" s="22" t="s">
        <v>19</v>
      </c>
      <c r="C14" s="27" t="s">
        <v>125</v>
      </c>
      <c r="D14" s="27"/>
      <c r="E14" s="27" t="s">
        <v>62</v>
      </c>
      <c r="F14" s="27" t="s">
        <v>15</v>
      </c>
      <c r="G14" s="28" t="s">
        <v>224</v>
      </c>
      <c r="H14" s="29">
        <f t="shared" si="0"/>
        <v>6.25E-2</v>
      </c>
      <c r="I14" s="30">
        <v>0.66666666666666663</v>
      </c>
      <c r="J14" s="30">
        <v>0.72916666666666663</v>
      </c>
    </row>
    <row r="15" spans="1:10" x14ac:dyDescent="0.2">
      <c r="A15" s="22">
        <v>46114</v>
      </c>
      <c r="B15" s="22" t="s">
        <v>20</v>
      </c>
      <c r="C15" s="27" t="s">
        <v>125</v>
      </c>
      <c r="D15" s="27"/>
      <c r="E15" s="27" t="s">
        <v>62</v>
      </c>
      <c r="F15" s="27" t="s">
        <v>15</v>
      </c>
      <c r="G15" s="28" t="s">
        <v>222</v>
      </c>
      <c r="H15" s="29">
        <f t="shared" si="0"/>
        <v>3.4722222222222654E-3</v>
      </c>
      <c r="I15" s="30">
        <v>0.33333333333333331</v>
      </c>
      <c r="J15" s="30">
        <v>0.33680555555555558</v>
      </c>
    </row>
    <row r="16" spans="1:10" x14ac:dyDescent="0.2">
      <c r="A16" s="22">
        <v>46114</v>
      </c>
      <c r="B16" s="22" t="s">
        <v>20</v>
      </c>
      <c r="C16" s="27" t="s">
        <v>125</v>
      </c>
      <c r="D16" s="27"/>
      <c r="E16" s="27" t="s">
        <v>221</v>
      </c>
      <c r="F16" s="27" t="s">
        <v>15</v>
      </c>
      <c r="G16" s="28" t="s">
        <v>226</v>
      </c>
      <c r="H16" s="29">
        <f t="shared" si="0"/>
        <v>0.11319444444444443</v>
      </c>
      <c r="I16" s="30">
        <v>0.34513888888888888</v>
      </c>
      <c r="J16" s="30">
        <v>0.45833333333333331</v>
      </c>
    </row>
    <row r="17" spans="1:10" x14ac:dyDescent="0.2">
      <c r="A17" s="22">
        <v>46114</v>
      </c>
      <c r="B17" s="22" t="s">
        <v>20</v>
      </c>
      <c r="C17" s="27" t="s">
        <v>125</v>
      </c>
      <c r="D17" s="27"/>
      <c r="E17" s="27" t="s">
        <v>221</v>
      </c>
      <c r="F17" s="27" t="s">
        <v>15</v>
      </c>
      <c r="G17" s="28" t="s">
        <v>223</v>
      </c>
      <c r="H17" s="29">
        <f t="shared" si="0"/>
        <v>3.4722222222222265E-2</v>
      </c>
      <c r="I17" s="30">
        <v>0.45833333333333331</v>
      </c>
      <c r="J17" s="30">
        <v>0.49305555555555558</v>
      </c>
    </row>
    <row r="18" spans="1:10" x14ac:dyDescent="0.2">
      <c r="A18" s="22">
        <v>46114</v>
      </c>
      <c r="B18" s="22" t="s">
        <v>20</v>
      </c>
      <c r="C18" s="27" t="s">
        <v>125</v>
      </c>
      <c r="D18" s="27"/>
      <c r="E18" s="27" t="s">
        <v>62</v>
      </c>
      <c r="F18" s="27" t="s">
        <v>15</v>
      </c>
      <c r="G18" s="28" t="s">
        <v>226</v>
      </c>
      <c r="H18" s="29">
        <f t="shared" si="0"/>
        <v>2.777777777777779E-2</v>
      </c>
      <c r="I18" s="30">
        <v>0.49305555555555558</v>
      </c>
      <c r="J18" s="30">
        <v>0.52083333333333337</v>
      </c>
    </row>
    <row r="19" spans="1:10" x14ac:dyDescent="0.2">
      <c r="A19" s="22">
        <v>46114</v>
      </c>
      <c r="B19" s="22" t="s">
        <v>20</v>
      </c>
      <c r="C19" s="27" t="s">
        <v>125</v>
      </c>
      <c r="D19" s="27"/>
      <c r="E19" s="27" t="s">
        <v>221</v>
      </c>
      <c r="F19" s="27" t="s">
        <v>15</v>
      </c>
      <c r="G19" s="28" t="s">
        <v>226</v>
      </c>
      <c r="H19" s="29">
        <f t="shared" si="0"/>
        <v>0.10416666666666663</v>
      </c>
      <c r="I19" s="30">
        <v>0.5625</v>
      </c>
      <c r="J19" s="30">
        <v>0.66666666666666663</v>
      </c>
    </row>
    <row r="20" spans="1:10" ht="25.5" x14ac:dyDescent="0.2">
      <c r="A20" s="22">
        <v>46114</v>
      </c>
      <c r="B20" s="22" t="s">
        <v>20</v>
      </c>
      <c r="C20" s="27" t="s">
        <v>125</v>
      </c>
      <c r="D20" s="27"/>
      <c r="E20" s="27" t="s">
        <v>62</v>
      </c>
      <c r="F20" s="27" t="s">
        <v>15</v>
      </c>
      <c r="G20" s="28" t="s">
        <v>224</v>
      </c>
      <c r="H20" s="29">
        <f t="shared" ref="H20:H68" si="1">J20-I20</f>
        <v>4.861111111111116E-2</v>
      </c>
      <c r="I20" s="30">
        <v>0.66666666666666663</v>
      </c>
      <c r="J20" s="30">
        <v>0.71527777777777779</v>
      </c>
    </row>
    <row r="21" spans="1:10" x14ac:dyDescent="0.2">
      <c r="A21" s="47">
        <v>46115</v>
      </c>
      <c r="B21" s="47" t="s">
        <v>11</v>
      </c>
      <c r="C21" s="48" t="s">
        <v>125</v>
      </c>
      <c r="D21" s="48"/>
      <c r="E21" s="48" t="s">
        <v>89</v>
      </c>
      <c r="F21" s="48" t="s">
        <v>15</v>
      </c>
      <c r="G21" s="49" t="s">
        <v>177</v>
      </c>
      <c r="H21" s="50">
        <f t="shared" si="1"/>
        <v>0.33333333333333331</v>
      </c>
      <c r="I21" s="51">
        <v>0.33333333333333331</v>
      </c>
      <c r="J21" s="51">
        <v>0.66666666666666663</v>
      </c>
    </row>
    <row r="22" spans="1:10" x14ac:dyDescent="0.2">
      <c r="A22" s="31">
        <v>46116</v>
      </c>
      <c r="B22" s="31" t="s">
        <v>14</v>
      </c>
      <c r="C22" s="32"/>
      <c r="D22" s="32"/>
      <c r="E22" s="32"/>
      <c r="F22" s="32"/>
      <c r="G22" s="33"/>
      <c r="H22" s="34">
        <f t="shared" ref="H22" si="2">J22-I22</f>
        <v>0</v>
      </c>
      <c r="I22" s="35"/>
      <c r="J22" s="35"/>
    </row>
    <row r="23" spans="1:10" x14ac:dyDescent="0.2">
      <c r="A23" s="31">
        <v>46117</v>
      </c>
      <c r="B23" s="31" t="s">
        <v>16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 x14ac:dyDescent="0.2">
      <c r="A24" s="47">
        <v>46118</v>
      </c>
      <c r="B24" s="47" t="s">
        <v>17</v>
      </c>
      <c r="C24" s="48" t="s">
        <v>125</v>
      </c>
      <c r="D24" s="48"/>
      <c r="E24" s="48" t="s">
        <v>89</v>
      </c>
      <c r="F24" s="48" t="s">
        <v>15</v>
      </c>
      <c r="G24" s="49" t="s">
        <v>178</v>
      </c>
      <c r="H24" s="50">
        <f t="shared" ref="H24" si="3">J24-I24</f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46119</v>
      </c>
      <c r="B25" s="22" t="s">
        <v>18</v>
      </c>
      <c r="C25" s="27" t="s">
        <v>125</v>
      </c>
      <c r="D25" s="27"/>
      <c r="E25" s="27" t="s">
        <v>62</v>
      </c>
      <c r="F25" s="27" t="s">
        <v>15</v>
      </c>
      <c r="G25" s="28" t="s">
        <v>222</v>
      </c>
      <c r="H25" s="29">
        <f t="shared" si="1"/>
        <v>6.9444444444444753E-3</v>
      </c>
      <c r="I25" s="30">
        <v>0.33333333333333331</v>
      </c>
      <c r="J25" s="30">
        <v>0.34027777777777779</v>
      </c>
    </row>
    <row r="26" spans="1:10" x14ac:dyDescent="0.2">
      <c r="A26" s="22">
        <v>46119</v>
      </c>
      <c r="B26" s="22" t="s">
        <v>18</v>
      </c>
      <c r="C26" s="27" t="s">
        <v>125</v>
      </c>
      <c r="D26" s="27"/>
      <c r="E26" s="27" t="s">
        <v>221</v>
      </c>
      <c r="F26" s="27" t="s">
        <v>15</v>
      </c>
      <c r="G26" s="28" t="s">
        <v>226</v>
      </c>
      <c r="H26" s="29">
        <f t="shared" si="1"/>
        <v>0.11805555555555552</v>
      </c>
      <c r="I26" s="30">
        <v>0.34027777777777779</v>
      </c>
      <c r="J26" s="30">
        <v>0.45833333333333331</v>
      </c>
    </row>
    <row r="27" spans="1:10" x14ac:dyDescent="0.2">
      <c r="A27" s="22">
        <v>46119</v>
      </c>
      <c r="B27" s="22" t="s">
        <v>18</v>
      </c>
      <c r="C27" s="27" t="s">
        <v>125</v>
      </c>
      <c r="D27" s="27"/>
      <c r="E27" s="27" t="s">
        <v>62</v>
      </c>
      <c r="F27" s="27" t="s">
        <v>15</v>
      </c>
      <c r="G27" s="28" t="s">
        <v>223</v>
      </c>
      <c r="H27" s="29">
        <f t="shared" si="1"/>
        <v>2.777777777777779E-2</v>
      </c>
      <c r="I27" s="30">
        <v>0.45833333333333331</v>
      </c>
      <c r="J27" s="30">
        <v>0.4861111111111111</v>
      </c>
    </row>
    <row r="28" spans="1:10" x14ac:dyDescent="0.2">
      <c r="A28" s="22">
        <v>46119</v>
      </c>
      <c r="B28" s="22" t="s">
        <v>18</v>
      </c>
      <c r="C28" s="27" t="s">
        <v>125</v>
      </c>
      <c r="D28" s="27"/>
      <c r="E28" s="27" t="s">
        <v>221</v>
      </c>
      <c r="F28" s="27" t="s">
        <v>15</v>
      </c>
      <c r="G28" s="28" t="s">
        <v>226</v>
      </c>
      <c r="H28" s="29">
        <f t="shared" si="1"/>
        <v>4.1666666666666685E-2</v>
      </c>
      <c r="I28" s="30">
        <v>0.4861111111111111</v>
      </c>
      <c r="J28" s="30">
        <v>0.52777777777777779</v>
      </c>
    </row>
    <row r="29" spans="1:10" x14ac:dyDescent="0.2">
      <c r="A29" s="22">
        <v>46119</v>
      </c>
      <c r="B29" s="22" t="s">
        <v>18</v>
      </c>
      <c r="C29" s="27" t="s">
        <v>125</v>
      </c>
      <c r="D29" s="27"/>
      <c r="E29" s="27" t="s">
        <v>221</v>
      </c>
      <c r="F29" s="27" t="s">
        <v>15</v>
      </c>
      <c r="G29" s="28" t="s">
        <v>226</v>
      </c>
      <c r="H29" s="29">
        <f t="shared" si="1"/>
        <v>9.722222222222221E-2</v>
      </c>
      <c r="I29" s="30">
        <v>0.56944444444444442</v>
      </c>
      <c r="J29" s="30">
        <v>0.66666666666666663</v>
      </c>
    </row>
    <row r="30" spans="1:10" ht="25.5" x14ac:dyDescent="0.2">
      <c r="A30" s="22">
        <v>46119</v>
      </c>
      <c r="B30" s="22" t="s">
        <v>18</v>
      </c>
      <c r="C30" s="27" t="s">
        <v>125</v>
      </c>
      <c r="D30" s="27"/>
      <c r="E30" s="27" t="s">
        <v>62</v>
      </c>
      <c r="F30" s="27" t="s">
        <v>15</v>
      </c>
      <c r="G30" s="28" t="s">
        <v>224</v>
      </c>
      <c r="H30" s="29">
        <f t="shared" si="1"/>
        <v>4.1666666666666741E-2</v>
      </c>
      <c r="I30" s="30">
        <v>0.66666666666666663</v>
      </c>
      <c r="J30" s="30">
        <v>0.70833333333333337</v>
      </c>
    </row>
    <row r="31" spans="1:10" x14ac:dyDescent="0.2">
      <c r="A31" s="22">
        <v>46120</v>
      </c>
      <c r="B31" s="22" t="s">
        <v>19</v>
      </c>
      <c r="C31" s="27" t="s">
        <v>125</v>
      </c>
      <c r="D31" s="27"/>
      <c r="E31" s="27" t="s">
        <v>62</v>
      </c>
      <c r="F31" s="27" t="s">
        <v>15</v>
      </c>
      <c r="G31" s="28" t="s">
        <v>222</v>
      </c>
      <c r="H31" s="29">
        <f t="shared" si="1"/>
        <v>6.9444444444444753E-3</v>
      </c>
      <c r="I31" s="30">
        <v>0.33333333333333331</v>
      </c>
      <c r="J31" s="30">
        <v>0.34027777777777779</v>
      </c>
    </row>
    <row r="32" spans="1:10" x14ac:dyDescent="0.2">
      <c r="A32" s="22">
        <v>46120</v>
      </c>
      <c r="B32" s="22" t="s">
        <v>19</v>
      </c>
      <c r="C32" s="27" t="s">
        <v>125</v>
      </c>
      <c r="D32" s="27"/>
      <c r="E32" s="27" t="s">
        <v>221</v>
      </c>
      <c r="F32" s="27" t="s">
        <v>15</v>
      </c>
      <c r="G32" s="28" t="s">
        <v>226</v>
      </c>
      <c r="H32" s="29">
        <f>J32-I32</f>
        <v>0.11805555555555552</v>
      </c>
      <c r="I32" s="30">
        <v>0.34027777777777779</v>
      </c>
      <c r="J32" s="30">
        <v>0.45833333333333331</v>
      </c>
    </row>
    <row r="33" spans="1:10" x14ac:dyDescent="0.2">
      <c r="A33" s="22">
        <v>46120</v>
      </c>
      <c r="B33" s="22" t="s">
        <v>19</v>
      </c>
      <c r="C33" s="27" t="s">
        <v>125</v>
      </c>
      <c r="D33" s="27"/>
      <c r="E33" s="27" t="s">
        <v>62</v>
      </c>
      <c r="F33" s="27" t="s">
        <v>15</v>
      </c>
      <c r="G33" s="28" t="s">
        <v>223</v>
      </c>
      <c r="H33" s="29">
        <f t="shared" si="1"/>
        <v>3.4722222222222265E-2</v>
      </c>
      <c r="I33" s="30">
        <v>0.45833333333333331</v>
      </c>
      <c r="J33" s="30">
        <v>0.49305555555555558</v>
      </c>
    </row>
    <row r="34" spans="1:10" x14ac:dyDescent="0.2">
      <c r="A34" s="22">
        <v>46120</v>
      </c>
      <c r="B34" s="22" t="s">
        <v>19</v>
      </c>
      <c r="C34" s="27" t="s">
        <v>125</v>
      </c>
      <c r="D34" s="27"/>
      <c r="E34" s="27" t="s">
        <v>221</v>
      </c>
      <c r="F34" s="27" t="s">
        <v>15</v>
      </c>
      <c r="G34" s="28" t="s">
        <v>226</v>
      </c>
      <c r="H34" s="29">
        <f t="shared" si="1"/>
        <v>3.472222222222221E-2</v>
      </c>
      <c r="I34" s="30">
        <v>0.49305555555555558</v>
      </c>
      <c r="J34" s="30">
        <v>0.52777777777777779</v>
      </c>
    </row>
    <row r="35" spans="1:10" x14ac:dyDescent="0.2">
      <c r="A35" s="22">
        <v>46120</v>
      </c>
      <c r="B35" s="22" t="s">
        <v>19</v>
      </c>
      <c r="C35" s="27" t="s">
        <v>125</v>
      </c>
      <c r="D35" s="27"/>
      <c r="E35" s="27" t="s">
        <v>221</v>
      </c>
      <c r="F35" s="27" t="s">
        <v>15</v>
      </c>
      <c r="G35" s="28" t="s">
        <v>226</v>
      </c>
      <c r="H35" s="29">
        <f t="shared" si="1"/>
        <v>9.722222222222221E-2</v>
      </c>
      <c r="I35" s="30">
        <v>0.56944444444444442</v>
      </c>
      <c r="J35" s="30">
        <v>0.66666666666666663</v>
      </c>
    </row>
    <row r="36" spans="1:10" ht="25.5" x14ac:dyDescent="0.2">
      <c r="A36" s="22">
        <v>46120</v>
      </c>
      <c r="B36" s="22" t="s">
        <v>19</v>
      </c>
      <c r="C36" s="27" t="s">
        <v>125</v>
      </c>
      <c r="D36" s="27"/>
      <c r="E36" s="27" t="s">
        <v>62</v>
      </c>
      <c r="F36" s="27" t="s">
        <v>15</v>
      </c>
      <c r="G36" s="28" t="s">
        <v>224</v>
      </c>
      <c r="H36" s="29">
        <f t="shared" si="1"/>
        <v>2.083333333333337E-2</v>
      </c>
      <c r="I36" s="30">
        <v>0.66666666666666663</v>
      </c>
      <c r="J36" s="30">
        <v>0.6875</v>
      </c>
    </row>
    <row r="37" spans="1:10" x14ac:dyDescent="0.2">
      <c r="A37" s="22">
        <v>46120</v>
      </c>
      <c r="B37" s="22" t="s">
        <v>19</v>
      </c>
      <c r="C37" s="27" t="s">
        <v>125</v>
      </c>
      <c r="D37" s="27"/>
      <c r="E37" s="27" t="s">
        <v>221</v>
      </c>
      <c r="F37" s="27" t="s">
        <v>15</v>
      </c>
      <c r="G37" s="28" t="s">
        <v>226</v>
      </c>
      <c r="H37" s="29">
        <f t="shared" si="1"/>
        <v>4.166666666666663E-2</v>
      </c>
      <c r="I37" s="30">
        <v>0.6875</v>
      </c>
      <c r="J37" s="30">
        <v>0.72916666666666663</v>
      </c>
    </row>
    <row r="38" spans="1:10" x14ac:dyDescent="0.2">
      <c r="A38" s="22">
        <v>46121</v>
      </c>
      <c r="B38" s="22" t="s">
        <v>20</v>
      </c>
      <c r="C38" s="27" t="s">
        <v>125</v>
      </c>
      <c r="D38" s="27"/>
      <c r="E38" s="27" t="s">
        <v>62</v>
      </c>
      <c r="F38" s="27" t="s">
        <v>15</v>
      </c>
      <c r="G38" s="28" t="s">
        <v>222</v>
      </c>
      <c r="H38" s="29">
        <f t="shared" si="1"/>
        <v>6.9444444444444198E-4</v>
      </c>
      <c r="I38" s="30">
        <v>0.33333333333333331</v>
      </c>
      <c r="J38" s="30">
        <v>0.33402777777777776</v>
      </c>
    </row>
    <row r="39" spans="1:10" x14ac:dyDescent="0.2">
      <c r="A39" s="22">
        <v>46121</v>
      </c>
      <c r="B39" s="22" t="s">
        <v>20</v>
      </c>
      <c r="C39" s="27" t="s">
        <v>125</v>
      </c>
      <c r="D39" s="27"/>
      <c r="E39" s="27" t="s">
        <v>221</v>
      </c>
      <c r="F39" s="27" t="s">
        <v>15</v>
      </c>
      <c r="G39" s="28" t="s">
        <v>228</v>
      </c>
      <c r="H39" s="29">
        <f t="shared" si="1"/>
        <v>4.0972222222222243E-2</v>
      </c>
      <c r="I39" s="30">
        <v>0.33402777777777776</v>
      </c>
      <c r="J39" s="30">
        <v>0.375</v>
      </c>
    </row>
    <row r="40" spans="1:10" x14ac:dyDescent="0.2">
      <c r="A40" s="22">
        <v>46121</v>
      </c>
      <c r="B40" s="22" t="s">
        <v>20</v>
      </c>
      <c r="C40" s="27" t="s">
        <v>125</v>
      </c>
      <c r="D40" s="27"/>
      <c r="E40" s="27" t="s">
        <v>221</v>
      </c>
      <c r="F40" s="27" t="s">
        <v>15</v>
      </c>
      <c r="G40" s="28" t="s">
        <v>227</v>
      </c>
      <c r="H40" s="29">
        <f t="shared" si="1"/>
        <v>8.3333333333333315E-2</v>
      </c>
      <c r="I40" s="30">
        <v>0.375</v>
      </c>
      <c r="J40" s="30">
        <v>0.45833333333333331</v>
      </c>
    </row>
    <row r="41" spans="1:10" x14ac:dyDescent="0.2">
      <c r="A41" s="22">
        <v>46121</v>
      </c>
      <c r="B41" s="22" t="s">
        <v>20</v>
      </c>
      <c r="C41" s="27" t="s">
        <v>125</v>
      </c>
      <c r="D41" s="27"/>
      <c r="E41" s="27" t="s">
        <v>62</v>
      </c>
      <c r="F41" s="27" t="s">
        <v>15</v>
      </c>
      <c r="G41" s="28" t="s">
        <v>223</v>
      </c>
      <c r="H41" s="29">
        <f t="shared" si="1"/>
        <v>3.6805555555555591E-2</v>
      </c>
      <c r="I41" s="30">
        <v>0.45833333333333331</v>
      </c>
      <c r="J41" s="30">
        <v>0.49513888888888891</v>
      </c>
    </row>
    <row r="42" spans="1:10" x14ac:dyDescent="0.2">
      <c r="A42" s="22">
        <v>46121</v>
      </c>
      <c r="B42" s="22" t="s">
        <v>20</v>
      </c>
      <c r="C42" s="27" t="s">
        <v>125</v>
      </c>
      <c r="D42" s="27"/>
      <c r="E42" s="27" t="s">
        <v>221</v>
      </c>
      <c r="F42" s="27" t="s">
        <v>15</v>
      </c>
      <c r="G42" s="28" t="s">
        <v>229</v>
      </c>
      <c r="H42" s="29">
        <f t="shared" si="1"/>
        <v>2.5694444444444464E-2</v>
      </c>
      <c r="I42" s="30">
        <v>0.49513888888888891</v>
      </c>
      <c r="J42" s="30">
        <v>0.52083333333333337</v>
      </c>
    </row>
    <row r="43" spans="1:10" x14ac:dyDescent="0.2">
      <c r="A43" s="22">
        <v>46121</v>
      </c>
      <c r="B43" s="22" t="s">
        <v>20</v>
      </c>
      <c r="C43" s="27" t="s">
        <v>125</v>
      </c>
      <c r="D43" s="27"/>
      <c r="E43" s="27" t="s">
        <v>221</v>
      </c>
      <c r="F43" s="27" t="s">
        <v>15</v>
      </c>
      <c r="G43" s="28" t="s">
        <v>229</v>
      </c>
      <c r="H43" s="29">
        <f t="shared" si="1"/>
        <v>0.10416666666666663</v>
      </c>
      <c r="I43" s="30">
        <v>0.5625</v>
      </c>
      <c r="J43" s="30">
        <v>0.66666666666666663</v>
      </c>
    </row>
    <row r="44" spans="1:10" ht="25.5" x14ac:dyDescent="0.2">
      <c r="A44" s="22">
        <v>46121</v>
      </c>
      <c r="B44" s="22" t="s">
        <v>20</v>
      </c>
      <c r="C44" s="27" t="s">
        <v>125</v>
      </c>
      <c r="D44" s="27"/>
      <c r="E44" s="27" t="s">
        <v>62</v>
      </c>
      <c r="F44" s="27" t="s">
        <v>15</v>
      </c>
      <c r="G44" s="28" t="s">
        <v>224</v>
      </c>
      <c r="H44" s="29">
        <f t="shared" si="1"/>
        <v>4.1666666666666741E-2</v>
      </c>
      <c r="I44" s="30">
        <v>0.66666666666666663</v>
      </c>
      <c r="J44" s="30">
        <v>0.70833333333333337</v>
      </c>
    </row>
    <row r="45" spans="1:10" x14ac:dyDescent="0.2">
      <c r="A45" s="22">
        <v>46122</v>
      </c>
      <c r="B45" s="22" t="s">
        <v>11</v>
      </c>
      <c r="C45" s="27" t="s">
        <v>125</v>
      </c>
      <c r="D45" s="27"/>
      <c r="E45" s="27" t="s">
        <v>62</v>
      </c>
      <c r="F45" s="27" t="s">
        <v>15</v>
      </c>
      <c r="G45" s="28" t="s">
        <v>222</v>
      </c>
      <c r="H45" s="29">
        <f t="shared" si="1"/>
        <v>4.8611111111111494E-3</v>
      </c>
      <c r="I45" s="30">
        <v>0.33333333333333331</v>
      </c>
      <c r="J45" s="30">
        <v>0.33819444444444446</v>
      </c>
    </row>
    <row r="46" spans="1:10" x14ac:dyDescent="0.2">
      <c r="A46" s="22">
        <v>46122</v>
      </c>
      <c r="B46" s="22" t="s">
        <v>11</v>
      </c>
      <c r="C46" s="27" t="s">
        <v>125</v>
      </c>
      <c r="D46" s="27"/>
      <c r="E46" s="27" t="s">
        <v>221</v>
      </c>
      <c r="F46" s="27" t="s">
        <v>15</v>
      </c>
      <c r="G46" s="28" t="s">
        <v>229</v>
      </c>
      <c r="H46" s="29">
        <f t="shared" si="1"/>
        <v>0.12013888888888885</v>
      </c>
      <c r="I46" s="30">
        <v>0.33819444444444446</v>
      </c>
      <c r="J46" s="30">
        <v>0.45833333333333331</v>
      </c>
    </row>
    <row r="47" spans="1:10" x14ac:dyDescent="0.2">
      <c r="A47" s="22">
        <v>46122</v>
      </c>
      <c r="B47" s="22" t="s">
        <v>11</v>
      </c>
      <c r="C47" s="27" t="s">
        <v>125</v>
      </c>
      <c r="D47" s="27"/>
      <c r="E47" s="27" t="s">
        <v>62</v>
      </c>
      <c r="F47" s="27" t="s">
        <v>15</v>
      </c>
      <c r="G47" s="28" t="s">
        <v>223</v>
      </c>
      <c r="H47" s="29">
        <f t="shared" si="1"/>
        <v>3.2638888888888884E-2</v>
      </c>
      <c r="I47" s="30">
        <v>0.45833333333333331</v>
      </c>
      <c r="J47" s="30">
        <v>0.4909722222222222</v>
      </c>
    </row>
    <row r="48" spans="1:10" x14ac:dyDescent="0.2">
      <c r="A48" s="22">
        <v>46122</v>
      </c>
      <c r="B48" s="22" t="s">
        <v>11</v>
      </c>
      <c r="C48" s="27" t="s">
        <v>125</v>
      </c>
      <c r="D48" s="27"/>
      <c r="E48" s="27" t="s">
        <v>221</v>
      </c>
      <c r="F48" s="27" t="s">
        <v>15</v>
      </c>
      <c r="G48" s="28" t="s">
        <v>229</v>
      </c>
      <c r="H48" s="29">
        <f t="shared" si="1"/>
        <v>1.5972222222222221E-2</v>
      </c>
      <c r="I48" s="30">
        <v>0.4909722222222222</v>
      </c>
      <c r="J48" s="30">
        <v>0.50694444444444442</v>
      </c>
    </row>
    <row r="49" spans="1:10" x14ac:dyDescent="0.2">
      <c r="A49" s="31">
        <v>46123</v>
      </c>
      <c r="B49" s="31" t="s">
        <v>14</v>
      </c>
      <c r="C49" s="32"/>
      <c r="D49" s="32"/>
      <c r="E49" s="32"/>
      <c r="F49" s="32"/>
      <c r="G49" s="33"/>
      <c r="H49" s="34">
        <f t="shared" si="1"/>
        <v>0</v>
      </c>
      <c r="I49" s="35"/>
      <c r="J49" s="35"/>
    </row>
    <row r="50" spans="1:10" x14ac:dyDescent="0.2">
      <c r="A50" s="31">
        <v>46124</v>
      </c>
      <c r="B50" s="31" t="s">
        <v>16</v>
      </c>
      <c r="C50" s="32"/>
      <c r="D50" s="32"/>
      <c r="E50" s="32"/>
      <c r="F50" s="32"/>
      <c r="G50" s="33"/>
      <c r="H50" s="34">
        <f t="shared" si="1"/>
        <v>0</v>
      </c>
      <c r="I50" s="35"/>
      <c r="J50" s="35"/>
    </row>
    <row r="51" spans="1:10" x14ac:dyDescent="0.2">
      <c r="A51" s="22">
        <v>46125</v>
      </c>
      <c r="B51" s="22" t="s">
        <v>17</v>
      </c>
      <c r="C51" s="27" t="s">
        <v>125</v>
      </c>
      <c r="D51" s="27"/>
      <c r="E51" s="27" t="s">
        <v>62</v>
      </c>
      <c r="F51" s="27" t="s">
        <v>15</v>
      </c>
      <c r="G51" s="28" t="s">
        <v>222</v>
      </c>
      <c r="H51" s="29">
        <f t="shared" si="1"/>
        <v>6.9444444444444753E-3</v>
      </c>
      <c r="I51" s="30">
        <v>0.33333333333333331</v>
      </c>
      <c r="J51" s="30">
        <v>0.34027777777777779</v>
      </c>
    </row>
    <row r="52" spans="1:10" ht="38.25" x14ac:dyDescent="0.2">
      <c r="A52" s="22">
        <v>46125</v>
      </c>
      <c r="B52" s="22" t="s">
        <v>17</v>
      </c>
      <c r="C52" s="27" t="s">
        <v>125</v>
      </c>
      <c r="D52" s="27"/>
      <c r="E52" s="27" t="s">
        <v>39</v>
      </c>
      <c r="F52" s="27" t="s">
        <v>15</v>
      </c>
      <c r="G52" s="28" t="s">
        <v>230</v>
      </c>
      <c r="H52" s="29">
        <f t="shared" si="1"/>
        <v>0.11805555555555552</v>
      </c>
      <c r="I52" s="30">
        <v>0.34027777777777779</v>
      </c>
      <c r="J52" s="30">
        <v>0.45833333333333331</v>
      </c>
    </row>
    <row r="53" spans="1:10" x14ac:dyDescent="0.2">
      <c r="A53" s="22">
        <v>46125</v>
      </c>
      <c r="B53" s="22" t="s">
        <v>17</v>
      </c>
      <c r="C53" s="27" t="s">
        <v>125</v>
      </c>
      <c r="D53" s="27"/>
      <c r="E53" s="27" t="s">
        <v>62</v>
      </c>
      <c r="F53" s="27" t="s">
        <v>15</v>
      </c>
      <c r="G53" s="28" t="s">
        <v>223</v>
      </c>
      <c r="H53" s="29">
        <f t="shared" si="1"/>
        <v>2.083333333333337E-2</v>
      </c>
      <c r="I53" s="30">
        <v>0.45833333333333331</v>
      </c>
      <c r="J53" s="30">
        <v>0.47916666666666669</v>
      </c>
    </row>
    <row r="54" spans="1:10" x14ac:dyDescent="0.2">
      <c r="A54" s="22">
        <v>46125</v>
      </c>
      <c r="B54" s="22" t="s">
        <v>17</v>
      </c>
      <c r="C54" s="27" t="s">
        <v>125</v>
      </c>
      <c r="D54" s="27"/>
      <c r="E54" s="27" t="s">
        <v>39</v>
      </c>
      <c r="F54" s="27" t="s">
        <v>15</v>
      </c>
      <c r="G54" s="28" t="s">
        <v>231</v>
      </c>
      <c r="H54" s="29">
        <f t="shared" si="1"/>
        <v>4.8611111111111105E-2</v>
      </c>
      <c r="I54" s="123">
        <v>0.47916666666666669</v>
      </c>
      <c r="J54" s="30">
        <v>0.52777777777777779</v>
      </c>
    </row>
    <row r="55" spans="1:10" x14ac:dyDescent="0.2">
      <c r="A55" s="22">
        <v>46125</v>
      </c>
      <c r="B55" s="22" t="s">
        <v>17</v>
      </c>
      <c r="C55" s="27" t="s">
        <v>125</v>
      </c>
      <c r="D55" s="27"/>
      <c r="E55" s="27" t="s">
        <v>221</v>
      </c>
      <c r="F55" s="27" t="s">
        <v>15</v>
      </c>
      <c r="G55" s="28" t="s">
        <v>232</v>
      </c>
      <c r="H55" s="29">
        <f t="shared" si="1"/>
        <v>9.722222222222221E-2</v>
      </c>
      <c r="I55" s="30">
        <v>0.56944444444444442</v>
      </c>
      <c r="J55" s="30">
        <v>0.66666666666666663</v>
      </c>
    </row>
    <row r="56" spans="1:10" ht="25.5" x14ac:dyDescent="0.2">
      <c r="A56" s="22">
        <v>46125</v>
      </c>
      <c r="B56" s="22" t="s">
        <v>17</v>
      </c>
      <c r="C56" s="27" t="s">
        <v>125</v>
      </c>
      <c r="D56" s="27"/>
      <c r="E56" s="27" t="s">
        <v>62</v>
      </c>
      <c r="F56" s="27" t="s">
        <v>15</v>
      </c>
      <c r="G56" s="28" t="s">
        <v>224</v>
      </c>
      <c r="H56" s="29">
        <f t="shared" si="1"/>
        <v>4.1666666666666741E-2</v>
      </c>
      <c r="I56" s="30">
        <v>0.66666666666666663</v>
      </c>
      <c r="J56" s="30">
        <v>0.70833333333333337</v>
      </c>
    </row>
    <row r="57" spans="1:10" x14ac:dyDescent="0.2">
      <c r="A57" s="22">
        <v>46126</v>
      </c>
      <c r="B57" s="22" t="s">
        <v>18</v>
      </c>
      <c r="C57" s="27" t="s">
        <v>125</v>
      </c>
      <c r="D57" s="27"/>
      <c r="E57" s="27" t="s">
        <v>62</v>
      </c>
      <c r="F57" s="27" t="s">
        <v>15</v>
      </c>
      <c r="G57" s="28" t="s">
        <v>222</v>
      </c>
      <c r="H57" s="29">
        <f t="shared" si="1"/>
        <v>6.9444444444444753E-3</v>
      </c>
      <c r="I57" s="30">
        <v>0.33333333333333331</v>
      </c>
      <c r="J57" s="30">
        <v>0.34027777777777779</v>
      </c>
    </row>
    <row r="58" spans="1:10" ht="25.5" x14ac:dyDescent="0.2">
      <c r="A58" s="22">
        <v>46126</v>
      </c>
      <c r="B58" s="22" t="s">
        <v>18</v>
      </c>
      <c r="C58" s="27" t="s">
        <v>125</v>
      </c>
      <c r="D58" s="27"/>
      <c r="E58" s="27" t="s">
        <v>53</v>
      </c>
      <c r="F58" s="27" t="s">
        <v>15</v>
      </c>
      <c r="G58" s="28" t="s">
        <v>233</v>
      </c>
      <c r="H58" s="29">
        <f t="shared" si="1"/>
        <v>0.11805555555555552</v>
      </c>
      <c r="I58" s="30">
        <v>0.34027777777777779</v>
      </c>
      <c r="J58" s="30">
        <v>0.45833333333333331</v>
      </c>
    </row>
    <row r="59" spans="1:10" x14ac:dyDescent="0.2">
      <c r="A59" s="22">
        <v>46126</v>
      </c>
      <c r="B59" s="22" t="s">
        <v>18</v>
      </c>
      <c r="C59" s="27" t="s">
        <v>125</v>
      </c>
      <c r="D59" s="27"/>
      <c r="E59" s="27" t="s">
        <v>62</v>
      </c>
      <c r="F59" s="27" t="s">
        <v>15</v>
      </c>
      <c r="G59" s="28" t="s">
        <v>223</v>
      </c>
      <c r="H59" s="29">
        <f t="shared" si="1"/>
        <v>3.4722222222222265E-2</v>
      </c>
      <c r="I59" s="30">
        <v>0.45833333333333331</v>
      </c>
      <c r="J59" s="30">
        <v>0.49305555555555558</v>
      </c>
    </row>
    <row r="60" spans="1:10" ht="25.5" x14ac:dyDescent="0.2">
      <c r="A60" s="22">
        <v>46126</v>
      </c>
      <c r="B60" s="22" t="s">
        <v>18</v>
      </c>
      <c r="C60" s="27" t="s">
        <v>125</v>
      </c>
      <c r="D60" s="27"/>
      <c r="E60" s="27" t="s">
        <v>64</v>
      </c>
      <c r="F60" s="27" t="s">
        <v>15</v>
      </c>
      <c r="G60" s="28" t="s">
        <v>248</v>
      </c>
      <c r="H60" s="29">
        <f t="shared" si="1"/>
        <v>2.777777777777779E-2</v>
      </c>
      <c r="I60" s="30">
        <v>0.49652777777777779</v>
      </c>
      <c r="J60" s="30">
        <v>0.52430555555555558</v>
      </c>
    </row>
    <row r="61" spans="1:10" x14ac:dyDescent="0.2">
      <c r="A61" s="22">
        <v>46126</v>
      </c>
      <c r="B61" s="22" t="s">
        <v>18</v>
      </c>
      <c r="C61" s="27" t="s">
        <v>125</v>
      </c>
      <c r="D61" s="27"/>
      <c r="E61" s="27" t="s">
        <v>64</v>
      </c>
      <c r="F61" s="27" t="s">
        <v>15</v>
      </c>
      <c r="G61" s="28" t="s">
        <v>234</v>
      </c>
      <c r="H61" s="29">
        <f t="shared" si="1"/>
        <v>9.722222222222221E-2</v>
      </c>
      <c r="I61" s="30">
        <v>0.56944444444444442</v>
      </c>
      <c r="J61" s="30">
        <v>0.66666666666666663</v>
      </c>
    </row>
    <row r="62" spans="1:10" ht="25.5" x14ac:dyDescent="0.2">
      <c r="A62" s="22">
        <v>46126</v>
      </c>
      <c r="B62" s="22" t="s">
        <v>18</v>
      </c>
      <c r="C62" s="27" t="s">
        <v>125</v>
      </c>
      <c r="D62" s="27"/>
      <c r="E62" s="27" t="s">
        <v>62</v>
      </c>
      <c r="F62" s="27" t="s">
        <v>15</v>
      </c>
      <c r="G62" s="28" t="s">
        <v>224</v>
      </c>
      <c r="H62" s="29">
        <f t="shared" si="1"/>
        <v>4.1666666666666741E-2</v>
      </c>
      <c r="I62" s="30">
        <v>0.66666666666666663</v>
      </c>
      <c r="J62" s="30">
        <v>0.70833333333333337</v>
      </c>
    </row>
    <row r="63" spans="1:10" x14ac:dyDescent="0.2">
      <c r="A63" s="22">
        <v>46127</v>
      </c>
      <c r="B63" s="22" t="s">
        <v>19</v>
      </c>
      <c r="C63" s="27" t="s">
        <v>125</v>
      </c>
      <c r="D63" s="27"/>
      <c r="E63" s="27" t="s">
        <v>62</v>
      </c>
      <c r="F63" s="27" t="s">
        <v>15</v>
      </c>
      <c r="G63" s="28" t="s">
        <v>222</v>
      </c>
      <c r="H63" s="29">
        <f t="shared" si="1"/>
        <v>6.9444444444444753E-3</v>
      </c>
      <c r="I63" s="30">
        <v>0.33333333333333331</v>
      </c>
      <c r="J63" s="30">
        <v>0.34027777777777779</v>
      </c>
    </row>
    <row r="64" spans="1:10" ht="25.5" x14ac:dyDescent="0.2">
      <c r="A64" s="22">
        <v>46127</v>
      </c>
      <c r="B64" s="22" t="s">
        <v>19</v>
      </c>
      <c r="C64" s="27" t="s">
        <v>125</v>
      </c>
      <c r="D64" s="27"/>
      <c r="E64" s="27" t="s">
        <v>64</v>
      </c>
      <c r="F64" s="27" t="s">
        <v>15</v>
      </c>
      <c r="G64" s="28" t="s">
        <v>235</v>
      </c>
      <c r="H64" s="29">
        <f t="shared" si="1"/>
        <v>0.11805555555555552</v>
      </c>
      <c r="I64" s="30">
        <v>0.34027777777777779</v>
      </c>
      <c r="J64" s="30">
        <v>0.45833333333333331</v>
      </c>
    </row>
    <row r="65" spans="1:10" x14ac:dyDescent="0.2">
      <c r="A65" s="22">
        <v>46127</v>
      </c>
      <c r="B65" s="22" t="s">
        <v>19</v>
      </c>
      <c r="C65" s="27" t="s">
        <v>125</v>
      </c>
      <c r="D65" s="27"/>
      <c r="E65" s="27" t="s">
        <v>62</v>
      </c>
      <c r="F65" s="27" t="s">
        <v>15</v>
      </c>
      <c r="G65" s="28" t="s">
        <v>223</v>
      </c>
      <c r="H65" s="29">
        <f t="shared" si="1"/>
        <v>2.083333333333337E-2</v>
      </c>
      <c r="I65" s="30">
        <v>0.45833333333333331</v>
      </c>
      <c r="J65" s="30">
        <v>0.47916666666666669</v>
      </c>
    </row>
    <row r="66" spans="1:10" x14ac:dyDescent="0.2">
      <c r="A66" s="22">
        <v>46127</v>
      </c>
      <c r="B66" s="22" t="s">
        <v>19</v>
      </c>
      <c r="C66" s="27" t="s">
        <v>125</v>
      </c>
      <c r="D66" s="27"/>
      <c r="E66" s="27" t="s">
        <v>36</v>
      </c>
      <c r="F66" s="27" t="s">
        <v>15</v>
      </c>
      <c r="G66" s="28" t="s">
        <v>236</v>
      </c>
      <c r="H66" s="29">
        <f t="shared" si="1"/>
        <v>4.1666666666666685E-2</v>
      </c>
      <c r="I66" s="30">
        <v>0.47916666666666669</v>
      </c>
      <c r="J66" s="30">
        <v>0.52083333333333337</v>
      </c>
    </row>
    <row r="67" spans="1:10" x14ac:dyDescent="0.2">
      <c r="A67" s="22">
        <v>46127</v>
      </c>
      <c r="B67" s="22" t="s">
        <v>19</v>
      </c>
      <c r="C67" s="27" t="s">
        <v>125</v>
      </c>
      <c r="D67" s="27"/>
      <c r="E67" s="27" t="s">
        <v>36</v>
      </c>
      <c r="F67" s="27" t="s">
        <v>15</v>
      </c>
      <c r="G67" s="28" t="s">
        <v>237</v>
      </c>
      <c r="H67" s="29">
        <f t="shared" si="1"/>
        <v>0.10416666666666663</v>
      </c>
      <c r="I67" s="123">
        <v>0.5625</v>
      </c>
      <c r="J67" s="123">
        <v>0.66666666666666663</v>
      </c>
    </row>
    <row r="68" spans="1:10" ht="25.5" x14ac:dyDescent="0.2">
      <c r="A68" s="22">
        <v>46127</v>
      </c>
      <c r="B68" s="22" t="s">
        <v>19</v>
      </c>
      <c r="C68" s="27" t="s">
        <v>125</v>
      </c>
      <c r="D68" s="27"/>
      <c r="E68" s="27" t="s">
        <v>62</v>
      </c>
      <c r="F68" s="27" t="s">
        <v>15</v>
      </c>
      <c r="G68" s="28" t="s">
        <v>224</v>
      </c>
      <c r="H68" s="29">
        <f t="shared" si="1"/>
        <v>4.1666666666666741E-2</v>
      </c>
      <c r="I68" s="123">
        <v>0.66666666666666663</v>
      </c>
      <c r="J68" s="30">
        <v>0.70833333333333337</v>
      </c>
    </row>
    <row r="69" spans="1:10" x14ac:dyDescent="0.2">
      <c r="A69" s="22">
        <v>46128</v>
      </c>
      <c r="B69" s="22" t="s">
        <v>20</v>
      </c>
      <c r="C69" s="27" t="s">
        <v>125</v>
      </c>
      <c r="D69" s="27"/>
      <c r="E69" s="27" t="s">
        <v>62</v>
      </c>
      <c r="F69" s="27" t="s">
        <v>15</v>
      </c>
      <c r="G69" s="28" t="s">
        <v>222</v>
      </c>
      <c r="H69" s="29">
        <f t="shared" ref="H69:H79" si="4">J69-I69</f>
        <v>6.9444444444444753E-3</v>
      </c>
      <c r="I69" s="30">
        <v>0.33333333333333331</v>
      </c>
      <c r="J69" s="30">
        <v>0.34027777777777779</v>
      </c>
    </row>
    <row r="70" spans="1:10" ht="25.5" x14ac:dyDescent="0.2">
      <c r="A70" s="22">
        <v>46128</v>
      </c>
      <c r="B70" s="22" t="s">
        <v>20</v>
      </c>
      <c r="C70" s="27" t="s">
        <v>125</v>
      </c>
      <c r="D70" s="27"/>
      <c r="E70" s="27" t="s">
        <v>64</v>
      </c>
      <c r="F70" s="27" t="s">
        <v>15</v>
      </c>
      <c r="G70" s="28" t="s">
        <v>238</v>
      </c>
      <c r="H70" s="29">
        <f t="shared" si="4"/>
        <v>0.11805555555555552</v>
      </c>
      <c r="I70" s="30">
        <v>0.34027777777777779</v>
      </c>
      <c r="J70" s="30">
        <v>0.45833333333333331</v>
      </c>
    </row>
    <row r="71" spans="1:10" x14ac:dyDescent="0.2">
      <c r="A71" s="22">
        <v>46128</v>
      </c>
      <c r="B71" s="22" t="s">
        <v>20</v>
      </c>
      <c r="C71" s="27" t="s">
        <v>125</v>
      </c>
      <c r="D71" s="27"/>
      <c r="E71" s="27" t="s">
        <v>62</v>
      </c>
      <c r="F71" s="27" t="s">
        <v>15</v>
      </c>
      <c r="G71" s="28" t="s">
        <v>223</v>
      </c>
      <c r="H71" s="29">
        <f t="shared" si="4"/>
        <v>2.430555555555558E-2</v>
      </c>
      <c r="I71" s="30">
        <v>0.45833333333333331</v>
      </c>
      <c r="J71" s="30">
        <v>0.4826388888888889</v>
      </c>
    </row>
    <row r="72" spans="1:10" ht="25.5" x14ac:dyDescent="0.2">
      <c r="A72" s="22">
        <v>46128</v>
      </c>
      <c r="B72" s="22" t="s">
        <v>20</v>
      </c>
      <c r="C72" s="27" t="s">
        <v>125</v>
      </c>
      <c r="D72" s="27"/>
      <c r="E72" s="27" t="s">
        <v>64</v>
      </c>
      <c r="F72" s="27" t="s">
        <v>15</v>
      </c>
      <c r="G72" s="28" t="s">
        <v>238</v>
      </c>
      <c r="H72" s="29">
        <f t="shared" si="4"/>
        <v>3.8194444444444475E-2</v>
      </c>
      <c r="I72" s="30">
        <v>0.4826388888888889</v>
      </c>
      <c r="J72" s="30">
        <v>0.52083333333333337</v>
      </c>
    </row>
    <row r="73" spans="1:10" ht="25.5" x14ac:dyDescent="0.2">
      <c r="A73" s="22">
        <v>46128</v>
      </c>
      <c r="B73" s="22" t="s">
        <v>20</v>
      </c>
      <c r="C73" s="27" t="s">
        <v>125</v>
      </c>
      <c r="D73" s="27"/>
      <c r="E73" s="27" t="s">
        <v>64</v>
      </c>
      <c r="F73" s="27" t="s">
        <v>15</v>
      </c>
      <c r="G73" s="28" t="s">
        <v>239</v>
      </c>
      <c r="H73" s="29">
        <f t="shared" si="4"/>
        <v>0.10416666666666663</v>
      </c>
      <c r="I73" s="123">
        <v>0.5625</v>
      </c>
      <c r="J73" s="123">
        <v>0.66666666666666663</v>
      </c>
    </row>
    <row r="74" spans="1:10" ht="25.5" x14ac:dyDescent="0.2">
      <c r="A74" s="22">
        <v>46128</v>
      </c>
      <c r="B74" s="22" t="s">
        <v>20</v>
      </c>
      <c r="C74" s="27" t="s">
        <v>125</v>
      </c>
      <c r="D74" s="27"/>
      <c r="E74" s="27" t="s">
        <v>62</v>
      </c>
      <c r="F74" s="27" t="s">
        <v>15</v>
      </c>
      <c r="G74" s="28" t="s">
        <v>224</v>
      </c>
      <c r="H74" s="29">
        <f t="shared" si="4"/>
        <v>4.1666666666666741E-2</v>
      </c>
      <c r="I74" s="123">
        <v>0.66666666666666663</v>
      </c>
      <c r="J74" s="30">
        <v>0.70833333333333337</v>
      </c>
    </row>
    <row r="75" spans="1:10" x14ac:dyDescent="0.2">
      <c r="A75" s="22">
        <v>46129</v>
      </c>
      <c r="B75" s="22" t="s">
        <v>11</v>
      </c>
      <c r="C75" s="27" t="s">
        <v>125</v>
      </c>
      <c r="D75" s="27"/>
      <c r="E75" s="27" t="s">
        <v>62</v>
      </c>
      <c r="F75" s="27" t="s">
        <v>15</v>
      </c>
      <c r="G75" s="28" t="s">
        <v>222</v>
      </c>
      <c r="H75" s="29">
        <f t="shared" si="4"/>
        <v>2.777777777777779E-2</v>
      </c>
      <c r="I75" s="30">
        <v>0.33333333333333331</v>
      </c>
      <c r="J75" s="30">
        <v>0.3611111111111111</v>
      </c>
    </row>
    <row r="76" spans="1:10" ht="25.5" x14ac:dyDescent="0.2">
      <c r="A76" s="22">
        <v>46129</v>
      </c>
      <c r="B76" s="22" t="s">
        <v>11</v>
      </c>
      <c r="C76" s="27" t="s">
        <v>125</v>
      </c>
      <c r="D76" s="27"/>
      <c r="E76" s="27" t="s">
        <v>54</v>
      </c>
      <c r="F76" s="27" t="s">
        <v>15</v>
      </c>
      <c r="G76" s="28" t="s">
        <v>241</v>
      </c>
      <c r="H76" s="29">
        <f t="shared" si="4"/>
        <v>9.722222222222221E-2</v>
      </c>
      <c r="I76" s="30">
        <v>0.3611111111111111</v>
      </c>
      <c r="J76" s="30">
        <v>0.45833333333333331</v>
      </c>
    </row>
    <row r="77" spans="1:10" x14ac:dyDescent="0.2">
      <c r="A77" s="22">
        <v>46129</v>
      </c>
      <c r="B77" s="22" t="s">
        <v>11</v>
      </c>
      <c r="C77" s="27" t="s">
        <v>125</v>
      </c>
      <c r="D77" s="27"/>
      <c r="E77" s="27" t="s">
        <v>62</v>
      </c>
      <c r="F77" s="27" t="s">
        <v>15</v>
      </c>
      <c r="G77" s="28" t="s">
        <v>223</v>
      </c>
      <c r="H77" s="29">
        <f t="shared" si="4"/>
        <v>4.1666666666666685E-2</v>
      </c>
      <c r="I77" s="30">
        <v>0.45833333333333331</v>
      </c>
      <c r="J77" s="30">
        <v>0.5</v>
      </c>
    </row>
    <row r="78" spans="1:10" ht="25.5" x14ac:dyDescent="0.2">
      <c r="A78" s="22">
        <v>46129</v>
      </c>
      <c r="B78" s="22" t="s">
        <v>11</v>
      </c>
      <c r="C78" s="27" t="s">
        <v>125</v>
      </c>
      <c r="D78" s="27"/>
      <c r="E78" s="27" t="s">
        <v>64</v>
      </c>
      <c r="F78" s="27" t="s">
        <v>15</v>
      </c>
      <c r="G78" s="28" t="s">
        <v>240</v>
      </c>
      <c r="H78" s="29">
        <f t="shared" si="4"/>
        <v>2.083333333333337E-2</v>
      </c>
      <c r="I78" s="30">
        <v>0.5</v>
      </c>
      <c r="J78" s="30">
        <v>0.52083333333333337</v>
      </c>
    </row>
    <row r="79" spans="1:10" ht="25.5" x14ac:dyDescent="0.2">
      <c r="A79" s="22">
        <v>46129</v>
      </c>
      <c r="B79" s="22" t="s">
        <v>11</v>
      </c>
      <c r="C79" s="27" t="s">
        <v>125</v>
      </c>
      <c r="D79" s="27"/>
      <c r="E79" s="27" t="s">
        <v>64</v>
      </c>
      <c r="F79" s="27" t="s">
        <v>15</v>
      </c>
      <c r="G79" s="28" t="s">
        <v>240</v>
      </c>
      <c r="H79" s="29">
        <f t="shared" si="4"/>
        <v>0.10416666666666663</v>
      </c>
      <c r="I79" s="123">
        <v>0.5625</v>
      </c>
      <c r="J79" s="123">
        <v>0.66666666666666663</v>
      </c>
    </row>
    <row r="80" spans="1:10" ht="25.5" x14ac:dyDescent="0.2">
      <c r="A80" s="22">
        <v>46129</v>
      </c>
      <c r="B80" s="22" t="s">
        <v>11</v>
      </c>
      <c r="C80" s="27" t="s">
        <v>125</v>
      </c>
      <c r="D80" s="27"/>
      <c r="E80" s="27" t="s">
        <v>62</v>
      </c>
      <c r="F80" s="27" t="s">
        <v>15</v>
      </c>
      <c r="G80" s="28" t="s">
        <v>224</v>
      </c>
      <c r="H80" s="29">
        <f t="shared" ref="H80:H115" si="5">J80-I80</f>
        <v>4.1666666666666741E-2</v>
      </c>
      <c r="I80" s="123">
        <v>0.66666666666666663</v>
      </c>
      <c r="J80" s="30">
        <v>0.70833333333333337</v>
      </c>
    </row>
    <row r="81" spans="1:10" x14ac:dyDescent="0.2">
      <c r="A81" s="31">
        <v>46130</v>
      </c>
      <c r="B81" s="31" t="s">
        <v>14</v>
      </c>
      <c r="C81" s="32"/>
      <c r="D81" s="32"/>
      <c r="E81" s="32"/>
      <c r="F81" s="32"/>
      <c r="G81" s="33"/>
      <c r="H81" s="34">
        <f t="shared" si="5"/>
        <v>0</v>
      </c>
      <c r="I81" s="35"/>
      <c r="J81" s="35"/>
    </row>
    <row r="82" spans="1:10" x14ac:dyDescent="0.2">
      <c r="A82" s="31">
        <v>46131</v>
      </c>
      <c r="B82" s="31" t="s">
        <v>16</v>
      </c>
      <c r="C82" s="32"/>
      <c r="D82" s="32"/>
      <c r="E82" s="32"/>
      <c r="F82" s="32"/>
      <c r="G82" s="33"/>
      <c r="H82" s="34">
        <f t="shared" si="5"/>
        <v>0</v>
      </c>
      <c r="I82" s="35"/>
      <c r="J82" s="35"/>
    </row>
    <row r="83" spans="1:10" x14ac:dyDescent="0.2">
      <c r="A83" s="31"/>
      <c r="B83" s="31"/>
      <c r="C83" s="32"/>
      <c r="D83" s="32"/>
      <c r="E83" s="32"/>
      <c r="F83" s="32"/>
      <c r="G83" s="33"/>
      <c r="H83" s="34"/>
      <c r="I83" s="35"/>
      <c r="J83" s="35"/>
    </row>
    <row r="84" spans="1:10" x14ac:dyDescent="0.2">
      <c r="A84" s="22">
        <v>46132</v>
      </c>
      <c r="B84" s="22" t="s">
        <v>17</v>
      </c>
      <c r="C84" s="27" t="s">
        <v>125</v>
      </c>
      <c r="D84" s="27"/>
      <c r="E84" s="27" t="s">
        <v>62</v>
      </c>
      <c r="F84" s="27" t="s">
        <v>15</v>
      </c>
      <c r="G84" s="28" t="s">
        <v>222</v>
      </c>
      <c r="H84" s="29">
        <f t="shared" si="5"/>
        <v>1.3888888888888895E-2</v>
      </c>
      <c r="I84" s="30">
        <v>0.33333333333333331</v>
      </c>
      <c r="J84" s="30">
        <v>0.34722222222222221</v>
      </c>
    </row>
    <row r="85" spans="1:10" ht="25.5" x14ac:dyDescent="0.2">
      <c r="A85" s="22">
        <v>46132</v>
      </c>
      <c r="B85" s="22" t="s">
        <v>17</v>
      </c>
      <c r="C85" s="27" t="s">
        <v>125</v>
      </c>
      <c r="D85" s="27"/>
      <c r="E85" s="27" t="s">
        <v>221</v>
      </c>
      <c r="F85" s="27" t="s">
        <v>15</v>
      </c>
      <c r="G85" s="28" t="s">
        <v>246</v>
      </c>
      <c r="H85" s="29">
        <f t="shared" si="5"/>
        <v>0.1076388888888889</v>
      </c>
      <c r="I85" s="30">
        <v>0.34722222222222221</v>
      </c>
      <c r="J85" s="30">
        <v>0.4548611111111111</v>
      </c>
    </row>
    <row r="86" spans="1:10" x14ac:dyDescent="0.2">
      <c r="A86" s="22">
        <v>46132</v>
      </c>
      <c r="B86" s="22" t="s">
        <v>17</v>
      </c>
      <c r="C86" s="27" t="s">
        <v>125</v>
      </c>
      <c r="D86" s="27"/>
      <c r="E86" s="27" t="s">
        <v>62</v>
      </c>
      <c r="F86" s="27" t="s">
        <v>15</v>
      </c>
      <c r="G86" s="28" t="s">
        <v>223</v>
      </c>
      <c r="H86" s="29">
        <f t="shared" si="5"/>
        <v>3.4722222222222099E-3</v>
      </c>
      <c r="I86" s="30">
        <v>0.4548611111111111</v>
      </c>
      <c r="J86" s="30">
        <v>0.45833333333333331</v>
      </c>
    </row>
    <row r="87" spans="1:10" ht="25.5" x14ac:dyDescent="0.2">
      <c r="A87" s="22">
        <v>46132</v>
      </c>
      <c r="B87" s="22" t="s">
        <v>17</v>
      </c>
      <c r="C87" s="27" t="s">
        <v>125</v>
      </c>
      <c r="D87" s="27"/>
      <c r="E87" s="27" t="s">
        <v>221</v>
      </c>
      <c r="F87" s="27" t="s">
        <v>15</v>
      </c>
      <c r="G87" s="28" t="s">
        <v>246</v>
      </c>
      <c r="H87" s="29">
        <f t="shared" si="5"/>
        <v>6.2500000000000056E-2</v>
      </c>
      <c r="I87" s="123">
        <v>0.45833333333333331</v>
      </c>
      <c r="J87" s="30">
        <v>0.52083333333333337</v>
      </c>
    </row>
    <row r="88" spans="1:10" ht="25.5" x14ac:dyDescent="0.2">
      <c r="A88" s="22">
        <v>46132</v>
      </c>
      <c r="B88" s="22" t="s">
        <v>17</v>
      </c>
      <c r="C88" s="27" t="s">
        <v>125</v>
      </c>
      <c r="D88" s="27"/>
      <c r="E88" s="27" t="s">
        <v>221</v>
      </c>
      <c r="F88" s="27" t="s">
        <v>15</v>
      </c>
      <c r="G88" s="28" t="s">
        <v>246</v>
      </c>
      <c r="H88" s="29">
        <f t="shared" si="5"/>
        <v>0.10416666666666663</v>
      </c>
      <c r="I88" s="30">
        <v>0.5625</v>
      </c>
      <c r="J88" s="30">
        <v>0.66666666666666663</v>
      </c>
    </row>
    <row r="89" spans="1:10" ht="25.5" x14ac:dyDescent="0.2">
      <c r="A89" s="22">
        <v>46132</v>
      </c>
      <c r="B89" s="22" t="s">
        <v>17</v>
      </c>
      <c r="C89" s="27" t="s">
        <v>125</v>
      </c>
      <c r="D89" s="27"/>
      <c r="E89" s="27" t="s">
        <v>62</v>
      </c>
      <c r="F89" s="27" t="s">
        <v>15</v>
      </c>
      <c r="G89" s="28" t="s">
        <v>247</v>
      </c>
      <c r="H89" s="29">
        <f t="shared" si="5"/>
        <v>2.777777777777779E-2</v>
      </c>
      <c r="I89" s="30">
        <v>0.66666666666666663</v>
      </c>
      <c r="J89" s="30">
        <v>0.69444444444444442</v>
      </c>
    </row>
    <row r="90" spans="1:10" ht="25.5" x14ac:dyDescent="0.2">
      <c r="A90" s="22">
        <v>46132</v>
      </c>
      <c r="B90" s="22" t="s">
        <v>17</v>
      </c>
      <c r="C90" s="27" t="s">
        <v>125</v>
      </c>
      <c r="D90" s="27"/>
      <c r="E90" s="27" t="s">
        <v>62</v>
      </c>
      <c r="F90" s="27" t="s">
        <v>15</v>
      </c>
      <c r="G90" s="28" t="s">
        <v>224</v>
      </c>
      <c r="H90" s="29">
        <f t="shared" si="5"/>
        <v>2.2916666666666696E-2</v>
      </c>
      <c r="I90" s="30">
        <v>0.69444444444444442</v>
      </c>
      <c r="J90" s="30">
        <v>0.71736111111111112</v>
      </c>
    </row>
    <row r="91" spans="1:10" x14ac:dyDescent="0.2">
      <c r="A91" s="22">
        <v>46133</v>
      </c>
      <c r="B91" s="22" t="s">
        <v>18</v>
      </c>
      <c r="C91" s="27" t="s">
        <v>125</v>
      </c>
      <c r="D91" s="27"/>
      <c r="E91" s="27" t="s">
        <v>62</v>
      </c>
      <c r="F91" s="27" t="s">
        <v>15</v>
      </c>
      <c r="G91" s="28" t="s">
        <v>222</v>
      </c>
      <c r="H91" s="29">
        <f t="shared" si="5"/>
        <v>1.388888888888884E-3</v>
      </c>
      <c r="I91" s="30">
        <v>0.33333333333333331</v>
      </c>
      <c r="J91" s="30">
        <v>0.3347222222222222</v>
      </c>
    </row>
    <row r="92" spans="1:10" ht="25.5" x14ac:dyDescent="0.2">
      <c r="A92" s="22">
        <v>46133</v>
      </c>
      <c r="B92" s="22" t="s">
        <v>18</v>
      </c>
      <c r="C92" s="27" t="s">
        <v>125</v>
      </c>
      <c r="D92" s="27"/>
      <c r="E92" s="27" t="s">
        <v>221</v>
      </c>
      <c r="F92" s="27" t="s">
        <v>15</v>
      </c>
      <c r="G92" s="28" t="s">
        <v>246</v>
      </c>
      <c r="H92" s="29">
        <f t="shared" si="5"/>
        <v>0.12361111111111112</v>
      </c>
      <c r="I92" s="30">
        <v>0.3347222222222222</v>
      </c>
      <c r="J92" s="30">
        <v>0.45833333333333331</v>
      </c>
    </row>
    <row r="93" spans="1:10" x14ac:dyDescent="0.2">
      <c r="A93" s="22">
        <v>46133</v>
      </c>
      <c r="B93" s="22" t="s">
        <v>18</v>
      </c>
      <c r="C93" s="27" t="s">
        <v>125</v>
      </c>
      <c r="D93" s="27"/>
      <c r="E93" s="27" t="s">
        <v>62</v>
      </c>
      <c r="F93" s="27" t="s">
        <v>15</v>
      </c>
      <c r="G93" s="28" t="s">
        <v>223</v>
      </c>
      <c r="H93" s="29">
        <f t="shared" si="5"/>
        <v>4.1666666666666685E-2</v>
      </c>
      <c r="I93" s="30">
        <v>0.45833333333333331</v>
      </c>
      <c r="J93" s="30">
        <v>0.5</v>
      </c>
    </row>
    <row r="94" spans="1:10" ht="25.5" x14ac:dyDescent="0.2">
      <c r="A94" s="22">
        <v>46133</v>
      </c>
      <c r="B94" s="22" t="s">
        <v>18</v>
      </c>
      <c r="C94" s="27" t="s">
        <v>125</v>
      </c>
      <c r="D94" s="27"/>
      <c r="E94" s="27" t="s">
        <v>221</v>
      </c>
      <c r="F94" s="27" t="s">
        <v>15</v>
      </c>
      <c r="G94" s="28" t="s">
        <v>246</v>
      </c>
      <c r="H94" s="29">
        <f t="shared" si="5"/>
        <v>2.083333333333337E-2</v>
      </c>
      <c r="I94" s="30">
        <v>0.5</v>
      </c>
      <c r="J94" s="30">
        <v>0.52083333333333337</v>
      </c>
    </row>
    <row r="95" spans="1:10" ht="25.5" x14ac:dyDescent="0.2">
      <c r="A95" s="22">
        <v>46133</v>
      </c>
      <c r="B95" s="22" t="s">
        <v>18</v>
      </c>
      <c r="C95" s="27" t="s">
        <v>125</v>
      </c>
      <c r="D95" s="27"/>
      <c r="E95" s="27" t="s">
        <v>221</v>
      </c>
      <c r="F95" s="27" t="s">
        <v>15</v>
      </c>
      <c r="G95" s="28" t="s">
        <v>246</v>
      </c>
      <c r="H95" s="29">
        <f t="shared" si="5"/>
        <v>0.10416666666666663</v>
      </c>
      <c r="I95" s="126">
        <v>0.5625</v>
      </c>
      <c r="J95" s="124">
        <v>0.66666666666666663</v>
      </c>
    </row>
    <row r="96" spans="1:10" ht="25.5" x14ac:dyDescent="0.2">
      <c r="A96" s="22">
        <v>46133</v>
      </c>
      <c r="B96" s="22" t="s">
        <v>18</v>
      </c>
      <c r="C96" s="27" t="s">
        <v>125</v>
      </c>
      <c r="D96" s="27"/>
      <c r="E96" s="27" t="s">
        <v>62</v>
      </c>
      <c r="F96" s="27" t="s">
        <v>15</v>
      </c>
      <c r="G96" s="28" t="s">
        <v>224</v>
      </c>
      <c r="H96" s="29">
        <f t="shared" si="5"/>
        <v>4.1666666666666741E-2</v>
      </c>
      <c r="I96" s="126">
        <v>0.66666666666666663</v>
      </c>
      <c r="J96" s="30">
        <v>0.70833333333333337</v>
      </c>
    </row>
    <row r="97" spans="1:10" x14ac:dyDescent="0.2">
      <c r="A97" s="22">
        <v>46134</v>
      </c>
      <c r="B97" s="22" t="s">
        <v>19</v>
      </c>
      <c r="C97" s="27" t="s">
        <v>125</v>
      </c>
      <c r="D97" s="27"/>
      <c r="E97" s="27" t="s">
        <v>62</v>
      </c>
      <c r="F97" s="27" t="s">
        <v>15</v>
      </c>
      <c r="G97" s="28" t="s">
        <v>222</v>
      </c>
      <c r="H97" s="29">
        <f t="shared" si="5"/>
        <v>6.9444444444444753E-3</v>
      </c>
      <c r="I97" s="126">
        <v>0.33333333333333331</v>
      </c>
      <c r="J97" s="125">
        <v>0.34027777777777779</v>
      </c>
    </row>
    <row r="98" spans="1:10" ht="25.5" x14ac:dyDescent="0.2">
      <c r="A98" s="22">
        <v>46134</v>
      </c>
      <c r="B98" s="22" t="s">
        <v>19</v>
      </c>
      <c r="C98" s="27" t="s">
        <v>125</v>
      </c>
      <c r="D98" s="27"/>
      <c r="E98" s="27" t="s">
        <v>221</v>
      </c>
      <c r="F98" s="27" t="s">
        <v>15</v>
      </c>
      <c r="G98" s="28" t="s">
        <v>246</v>
      </c>
      <c r="H98" s="29">
        <f t="shared" si="5"/>
        <v>0.11805555555555552</v>
      </c>
      <c r="I98" s="30">
        <v>0.34027777777777779</v>
      </c>
      <c r="J98" s="30">
        <v>0.45833333333333331</v>
      </c>
    </row>
    <row r="99" spans="1:10" x14ac:dyDescent="0.2">
      <c r="A99" s="22">
        <v>46134</v>
      </c>
      <c r="B99" s="22" t="s">
        <v>19</v>
      </c>
      <c r="C99" s="27" t="s">
        <v>125</v>
      </c>
      <c r="D99" s="27"/>
      <c r="E99" s="27" t="s">
        <v>62</v>
      </c>
      <c r="F99" s="27" t="s">
        <v>15</v>
      </c>
      <c r="G99" s="28" t="s">
        <v>223</v>
      </c>
      <c r="H99" s="29">
        <f t="shared" si="5"/>
        <v>5.2083333333333315E-2</v>
      </c>
      <c r="I99" s="30">
        <v>0.45833333333333331</v>
      </c>
      <c r="J99" s="30">
        <v>0.51041666666666663</v>
      </c>
    </row>
    <row r="100" spans="1:10" ht="25.5" x14ac:dyDescent="0.2">
      <c r="A100" s="22">
        <v>46134</v>
      </c>
      <c r="B100" s="22" t="s">
        <v>19</v>
      </c>
      <c r="C100" s="27" t="s">
        <v>125</v>
      </c>
      <c r="D100" s="27"/>
      <c r="E100" s="27" t="s">
        <v>221</v>
      </c>
      <c r="F100" s="27" t="s">
        <v>15</v>
      </c>
      <c r="G100" s="28" t="s">
        <v>246</v>
      </c>
      <c r="H100" s="29">
        <f t="shared" si="5"/>
        <v>3.125E-2</v>
      </c>
      <c r="I100" s="30">
        <v>0.51041666666666663</v>
      </c>
      <c r="J100" s="30">
        <v>0.54166666666666663</v>
      </c>
    </row>
    <row r="101" spans="1:10" ht="25.5" x14ac:dyDescent="0.2">
      <c r="A101" s="22">
        <v>46134</v>
      </c>
      <c r="B101" s="22" t="s">
        <v>19</v>
      </c>
      <c r="C101" s="27" t="s">
        <v>125</v>
      </c>
      <c r="D101" s="27"/>
      <c r="E101" s="27" t="s">
        <v>221</v>
      </c>
      <c r="F101" s="27" t="s">
        <v>15</v>
      </c>
      <c r="G101" s="28" t="s">
        <v>246</v>
      </c>
      <c r="H101" s="29">
        <f t="shared" si="5"/>
        <v>8.3333333333333259E-2</v>
      </c>
      <c r="I101" s="30">
        <v>0.58333333333333337</v>
      </c>
      <c r="J101" s="30">
        <v>0.66666666666666663</v>
      </c>
    </row>
    <row r="102" spans="1:10" ht="25.5" x14ac:dyDescent="0.2">
      <c r="A102" s="22">
        <v>46134</v>
      </c>
      <c r="B102" s="22" t="s">
        <v>19</v>
      </c>
      <c r="C102" s="27" t="s">
        <v>125</v>
      </c>
      <c r="D102" s="27"/>
      <c r="E102" s="27" t="s">
        <v>62</v>
      </c>
      <c r="F102" s="27" t="s">
        <v>15</v>
      </c>
      <c r="G102" s="28" t="s">
        <v>224</v>
      </c>
      <c r="H102" s="29">
        <f t="shared" si="5"/>
        <v>4.1666666666666741E-2</v>
      </c>
      <c r="I102" s="30">
        <v>0.66666666666666663</v>
      </c>
      <c r="J102" s="30">
        <v>0.70833333333333337</v>
      </c>
    </row>
    <row r="103" spans="1:10" x14ac:dyDescent="0.2">
      <c r="A103" s="22">
        <v>46135</v>
      </c>
      <c r="B103" s="22" t="s">
        <v>20</v>
      </c>
      <c r="C103" s="27" t="s">
        <v>125</v>
      </c>
      <c r="D103" s="27"/>
      <c r="E103" s="27" t="s">
        <v>62</v>
      </c>
      <c r="F103" s="27" t="s">
        <v>15</v>
      </c>
      <c r="G103" s="28" t="s">
        <v>222</v>
      </c>
      <c r="H103" s="29">
        <f t="shared" si="5"/>
        <v>3.4722222222222654E-3</v>
      </c>
      <c r="I103" s="126">
        <v>0.33333333333333331</v>
      </c>
      <c r="J103" s="125">
        <v>0.33680555555555558</v>
      </c>
    </row>
    <row r="104" spans="1:10" ht="25.5" x14ac:dyDescent="0.2">
      <c r="A104" s="22">
        <v>46135</v>
      </c>
      <c r="B104" s="22" t="s">
        <v>20</v>
      </c>
      <c r="C104" s="27" t="s">
        <v>125</v>
      </c>
      <c r="D104" s="27"/>
      <c r="E104" s="27" t="s">
        <v>221</v>
      </c>
      <c r="F104" s="27" t="s">
        <v>15</v>
      </c>
      <c r="G104" s="28" t="s">
        <v>246</v>
      </c>
      <c r="H104" s="29">
        <f t="shared" si="5"/>
        <v>0.12152777777777773</v>
      </c>
      <c r="I104" s="30">
        <v>0.33680555555555558</v>
      </c>
      <c r="J104" s="30">
        <v>0.45833333333333331</v>
      </c>
    </row>
    <row r="105" spans="1:10" x14ac:dyDescent="0.2">
      <c r="A105" s="22">
        <v>46135</v>
      </c>
      <c r="B105" s="22" t="s">
        <v>20</v>
      </c>
      <c r="C105" s="27" t="s">
        <v>125</v>
      </c>
      <c r="D105" s="27"/>
      <c r="E105" s="27" t="s">
        <v>62</v>
      </c>
      <c r="F105" s="27" t="s">
        <v>15</v>
      </c>
      <c r="G105" s="28" t="s">
        <v>223</v>
      </c>
      <c r="H105" s="29">
        <f t="shared" si="5"/>
        <v>4.9305555555555547E-2</v>
      </c>
      <c r="I105" s="30">
        <v>0.45833333333333331</v>
      </c>
      <c r="J105" s="30">
        <v>0.50763888888888886</v>
      </c>
    </row>
    <row r="106" spans="1:10" ht="25.5" x14ac:dyDescent="0.2">
      <c r="A106" s="22">
        <v>46135</v>
      </c>
      <c r="B106" s="22" t="s">
        <v>20</v>
      </c>
      <c r="C106" s="27" t="s">
        <v>125</v>
      </c>
      <c r="D106" s="27"/>
      <c r="E106" s="27" t="s">
        <v>221</v>
      </c>
      <c r="F106" s="27" t="s">
        <v>15</v>
      </c>
      <c r="G106" s="28" t="s">
        <v>246</v>
      </c>
      <c r="H106" s="29">
        <f t="shared" si="5"/>
        <v>1.3194444444444509E-2</v>
      </c>
      <c r="I106" s="30">
        <v>0.50763888888888886</v>
      </c>
      <c r="J106" s="30">
        <v>0.52083333333333337</v>
      </c>
    </row>
    <row r="107" spans="1:10" ht="25.5" x14ac:dyDescent="0.2">
      <c r="A107" s="22">
        <v>46135</v>
      </c>
      <c r="B107" s="22" t="s">
        <v>20</v>
      </c>
      <c r="C107" s="27" t="s">
        <v>125</v>
      </c>
      <c r="D107" s="27"/>
      <c r="E107" s="27" t="s">
        <v>221</v>
      </c>
      <c r="F107" s="27" t="s">
        <v>15</v>
      </c>
      <c r="G107" s="28" t="s">
        <v>246</v>
      </c>
      <c r="H107" s="29">
        <f t="shared" si="5"/>
        <v>0.10416666666666663</v>
      </c>
      <c r="I107" s="30">
        <v>0.5625</v>
      </c>
      <c r="J107" s="30">
        <v>0.66666666666666663</v>
      </c>
    </row>
    <row r="108" spans="1:10" ht="25.5" x14ac:dyDescent="0.2">
      <c r="A108" s="22">
        <v>46135</v>
      </c>
      <c r="B108" s="22" t="s">
        <v>20</v>
      </c>
      <c r="C108" s="27" t="s">
        <v>125</v>
      </c>
      <c r="D108" s="27"/>
      <c r="E108" s="27" t="s">
        <v>62</v>
      </c>
      <c r="F108" s="27" t="s">
        <v>15</v>
      </c>
      <c r="G108" s="28" t="s">
        <v>224</v>
      </c>
      <c r="H108" s="29">
        <f t="shared" si="5"/>
        <v>4.1666666666666741E-2</v>
      </c>
      <c r="I108" s="30">
        <v>0.66666666666666663</v>
      </c>
      <c r="J108" s="30">
        <v>0.70833333333333337</v>
      </c>
    </row>
    <row r="109" spans="1:10" x14ac:dyDescent="0.2">
      <c r="A109" s="22">
        <v>46136</v>
      </c>
      <c r="B109" s="22" t="s">
        <v>11</v>
      </c>
      <c r="C109" s="27" t="s">
        <v>125</v>
      </c>
      <c r="D109" s="27"/>
      <c r="E109" s="27" t="s">
        <v>62</v>
      </c>
      <c r="F109" s="27" t="s">
        <v>15</v>
      </c>
      <c r="G109" s="28" t="s">
        <v>222</v>
      </c>
      <c r="H109" s="29">
        <f t="shared" si="5"/>
        <v>9.0277777777778012E-3</v>
      </c>
      <c r="I109" s="126">
        <v>0.33333333333333331</v>
      </c>
      <c r="J109" s="125">
        <v>0.34236111111111112</v>
      </c>
    </row>
    <row r="110" spans="1:10" ht="25.5" x14ac:dyDescent="0.2">
      <c r="A110" s="22">
        <v>46136</v>
      </c>
      <c r="B110" s="22" t="s">
        <v>11</v>
      </c>
      <c r="C110" s="27" t="s">
        <v>125</v>
      </c>
      <c r="D110" s="27"/>
      <c r="E110" s="27" t="s">
        <v>221</v>
      </c>
      <c r="F110" s="27" t="s">
        <v>15</v>
      </c>
      <c r="G110" s="28" t="s">
        <v>246</v>
      </c>
      <c r="H110" s="29">
        <f t="shared" si="5"/>
        <v>0.1159722222222222</v>
      </c>
      <c r="I110" s="125">
        <v>0.34236111111111112</v>
      </c>
      <c r="J110" s="30">
        <v>0.45833333333333331</v>
      </c>
    </row>
    <row r="111" spans="1:10" x14ac:dyDescent="0.2">
      <c r="A111" s="22">
        <v>46136</v>
      </c>
      <c r="B111" s="22" t="s">
        <v>11</v>
      </c>
      <c r="C111" s="27" t="s">
        <v>125</v>
      </c>
      <c r="D111" s="27"/>
      <c r="E111" s="27" t="s">
        <v>62</v>
      </c>
      <c r="F111" s="27" t="s">
        <v>15</v>
      </c>
      <c r="G111" s="28" t="s">
        <v>223</v>
      </c>
      <c r="H111" s="29">
        <f t="shared" si="5"/>
        <v>3.4722222222222265E-2</v>
      </c>
      <c r="I111" s="30">
        <v>0.45833333333333331</v>
      </c>
      <c r="J111" s="30">
        <v>0.49305555555555558</v>
      </c>
    </row>
    <row r="112" spans="1:10" ht="25.5" x14ac:dyDescent="0.2">
      <c r="A112" s="22">
        <v>46136</v>
      </c>
      <c r="B112" s="22" t="s">
        <v>11</v>
      </c>
      <c r="C112" s="27" t="s">
        <v>125</v>
      </c>
      <c r="D112" s="27"/>
      <c r="E112" s="27" t="s">
        <v>221</v>
      </c>
      <c r="F112" s="27" t="s">
        <v>15</v>
      </c>
      <c r="G112" s="28" t="s">
        <v>246</v>
      </c>
      <c r="H112" s="29">
        <f t="shared" si="5"/>
        <v>2.777777777777779E-2</v>
      </c>
      <c r="I112" s="30">
        <v>0.49305555555555558</v>
      </c>
      <c r="J112" s="30">
        <v>0.52083333333333337</v>
      </c>
    </row>
    <row r="113" spans="1:10" ht="25.5" x14ac:dyDescent="0.2">
      <c r="A113" s="22">
        <v>46136</v>
      </c>
      <c r="B113" s="22" t="s">
        <v>11</v>
      </c>
      <c r="C113" s="27" t="s">
        <v>125</v>
      </c>
      <c r="D113" s="27"/>
      <c r="E113" s="27" t="s">
        <v>221</v>
      </c>
      <c r="F113" s="27" t="s">
        <v>15</v>
      </c>
      <c r="G113" s="28" t="s">
        <v>246</v>
      </c>
      <c r="H113" s="29">
        <f t="shared" si="5"/>
        <v>4.166666666666663E-2</v>
      </c>
      <c r="I113" s="30">
        <v>0.5625</v>
      </c>
      <c r="J113" s="123">
        <v>0.60416666666666663</v>
      </c>
    </row>
    <row r="114" spans="1:10" ht="25.5" x14ac:dyDescent="0.2">
      <c r="A114" s="22">
        <v>46136</v>
      </c>
      <c r="B114" s="22" t="s">
        <v>11</v>
      </c>
      <c r="C114" s="27" t="s">
        <v>125</v>
      </c>
      <c r="D114" s="27"/>
      <c r="E114" s="27" t="s">
        <v>62</v>
      </c>
      <c r="F114" s="27" t="s">
        <v>15</v>
      </c>
      <c r="G114" s="28" t="s">
        <v>249</v>
      </c>
      <c r="H114" s="29">
        <f t="shared" si="5"/>
        <v>1.0416666666666741E-2</v>
      </c>
      <c r="I114" s="123">
        <v>0.60416666666666663</v>
      </c>
      <c r="J114" s="30">
        <v>0.61458333333333337</v>
      </c>
    </row>
    <row r="115" spans="1:10" ht="25.5" x14ac:dyDescent="0.2">
      <c r="A115" s="22">
        <v>46136</v>
      </c>
      <c r="B115" s="22" t="s">
        <v>11</v>
      </c>
      <c r="C115" s="27" t="s">
        <v>125</v>
      </c>
      <c r="D115" s="27"/>
      <c r="E115" s="27" t="s">
        <v>221</v>
      </c>
      <c r="F115" s="27" t="s">
        <v>15</v>
      </c>
      <c r="G115" s="28" t="s">
        <v>246</v>
      </c>
      <c r="H115" s="29">
        <f t="shared" si="5"/>
        <v>5.2083333333333259E-2</v>
      </c>
      <c r="I115" s="30">
        <v>0.61458333333333337</v>
      </c>
      <c r="J115" s="30">
        <v>0.66666666666666663</v>
      </c>
    </row>
    <row r="116" spans="1:10" ht="25.5" x14ac:dyDescent="0.2">
      <c r="A116" s="22">
        <v>46136</v>
      </c>
      <c r="B116" s="22" t="s">
        <v>11</v>
      </c>
      <c r="C116" s="27" t="s">
        <v>125</v>
      </c>
      <c r="D116" s="27"/>
      <c r="E116" s="27" t="s">
        <v>62</v>
      </c>
      <c r="F116" s="27" t="s">
        <v>15</v>
      </c>
      <c r="G116" s="28" t="s">
        <v>224</v>
      </c>
      <c r="H116" s="29">
        <f t="shared" ref="H116:H121" si="6">J116-I116</f>
        <v>6.25E-2</v>
      </c>
      <c r="I116" s="30">
        <v>0.66666666666666663</v>
      </c>
      <c r="J116" s="30">
        <v>0.72916666666666663</v>
      </c>
    </row>
    <row r="117" spans="1:10" x14ac:dyDescent="0.2">
      <c r="A117" s="31">
        <v>46137</v>
      </c>
      <c r="B117" s="31" t="s">
        <v>14</v>
      </c>
      <c r="C117" s="32"/>
      <c r="D117" s="32"/>
      <c r="E117" s="32"/>
      <c r="F117" s="32"/>
      <c r="G117" s="33"/>
      <c r="H117" s="34">
        <f t="shared" si="6"/>
        <v>0</v>
      </c>
      <c r="I117" s="35"/>
      <c r="J117" s="35"/>
    </row>
    <row r="118" spans="1:10" x14ac:dyDescent="0.2">
      <c r="A118" s="31">
        <v>46138</v>
      </c>
      <c r="B118" s="31" t="s">
        <v>16</v>
      </c>
      <c r="C118" s="32"/>
      <c r="D118" s="32"/>
      <c r="E118" s="32"/>
      <c r="F118" s="32"/>
      <c r="G118" s="33"/>
      <c r="H118" s="34">
        <f t="shared" si="6"/>
        <v>0</v>
      </c>
      <c r="I118" s="35"/>
      <c r="J118" s="35"/>
    </row>
    <row r="119" spans="1:10" x14ac:dyDescent="0.2">
      <c r="A119" s="47">
        <v>46139</v>
      </c>
      <c r="B119" s="47" t="s">
        <v>17</v>
      </c>
      <c r="C119" s="48" t="s">
        <v>125</v>
      </c>
      <c r="D119" s="48"/>
      <c r="E119" s="48" t="s">
        <v>89</v>
      </c>
      <c r="F119" s="48" t="s">
        <v>15</v>
      </c>
      <c r="G119" s="49" t="s">
        <v>179</v>
      </c>
      <c r="H119" s="50">
        <f t="shared" si="6"/>
        <v>0.33333333333333331</v>
      </c>
      <c r="I119" s="51">
        <v>0.33333333333333331</v>
      </c>
      <c r="J119" s="51">
        <v>0.66666666666666663</v>
      </c>
    </row>
    <row r="120" spans="1:10" x14ac:dyDescent="0.2">
      <c r="A120" s="22">
        <v>46140</v>
      </c>
      <c r="B120" s="22" t="s">
        <v>18</v>
      </c>
      <c r="C120" s="27" t="s">
        <v>125</v>
      </c>
      <c r="D120" s="27"/>
      <c r="E120" s="27" t="s">
        <v>62</v>
      </c>
      <c r="F120" s="27" t="s">
        <v>15</v>
      </c>
      <c r="G120" s="28" t="s">
        <v>222</v>
      </c>
      <c r="H120" s="29">
        <f t="shared" si="6"/>
        <v>4.1666666666667074E-3</v>
      </c>
      <c r="I120" s="126">
        <v>0.33333333333333331</v>
      </c>
      <c r="J120" s="30">
        <v>0.33750000000000002</v>
      </c>
    </row>
    <row r="121" spans="1:10" ht="25.5" x14ac:dyDescent="0.2">
      <c r="A121" s="22">
        <v>46140</v>
      </c>
      <c r="B121" s="22" t="s">
        <v>18</v>
      </c>
      <c r="C121" s="27" t="s">
        <v>125</v>
      </c>
      <c r="D121" s="27"/>
      <c r="E121" s="27" t="s">
        <v>221</v>
      </c>
      <c r="F121" s="27" t="s">
        <v>15</v>
      </c>
      <c r="G121" s="28" t="s">
        <v>250</v>
      </c>
      <c r="H121" s="29">
        <f t="shared" si="6"/>
        <v>0.12083333333333329</v>
      </c>
      <c r="I121" s="30">
        <v>0.33750000000000002</v>
      </c>
      <c r="J121" s="30">
        <v>0.45833333333333331</v>
      </c>
    </row>
    <row r="122" spans="1:10" x14ac:dyDescent="0.2">
      <c r="A122" s="22">
        <v>46140</v>
      </c>
      <c r="B122" s="22" t="s">
        <v>18</v>
      </c>
      <c r="C122" s="27" t="s">
        <v>125</v>
      </c>
      <c r="D122" s="27"/>
      <c r="E122" s="27" t="s">
        <v>62</v>
      </c>
      <c r="F122" s="27" t="s">
        <v>15</v>
      </c>
      <c r="G122" s="28" t="s">
        <v>223</v>
      </c>
      <c r="H122" s="29">
        <f>J122-I122</f>
        <v>4.3055555555555569E-2</v>
      </c>
      <c r="I122" s="30">
        <v>0.45833333333333331</v>
      </c>
      <c r="J122" s="30">
        <v>0.50138888888888888</v>
      </c>
    </row>
    <row r="123" spans="1:10" x14ac:dyDescent="0.2">
      <c r="A123" s="22">
        <v>46140</v>
      </c>
      <c r="B123" s="22" t="s">
        <v>18</v>
      </c>
      <c r="C123" s="27" t="s">
        <v>125</v>
      </c>
      <c r="D123" s="27"/>
      <c r="E123" s="27" t="s">
        <v>64</v>
      </c>
      <c r="F123" s="27" t="s">
        <v>15</v>
      </c>
      <c r="G123" s="23" t="s">
        <v>253</v>
      </c>
      <c r="H123" s="29">
        <f t="shared" ref="H123:H126" si="7">J123-I123</f>
        <v>2.2916666666666696E-2</v>
      </c>
      <c r="I123" s="30">
        <v>0.50138888888888888</v>
      </c>
      <c r="J123" s="30">
        <v>0.52430555555555558</v>
      </c>
    </row>
    <row r="124" spans="1:10" x14ac:dyDescent="0.2">
      <c r="A124" s="22"/>
      <c r="B124" s="22"/>
      <c r="C124" s="27"/>
      <c r="D124" s="27"/>
      <c r="E124" s="27"/>
      <c r="F124" s="27" t="s">
        <v>15</v>
      </c>
      <c r="G124" s="28" t="s">
        <v>254</v>
      </c>
      <c r="H124" s="29">
        <f t="shared" si="7"/>
        <v>3.819444444444442E-2</v>
      </c>
      <c r="I124" s="30">
        <v>0.56597222222222221</v>
      </c>
      <c r="J124" s="30">
        <v>0.60416666666666663</v>
      </c>
    </row>
    <row r="125" spans="1:10" ht="25.5" x14ac:dyDescent="0.2">
      <c r="A125" s="22">
        <v>46140</v>
      </c>
      <c r="B125" s="22" t="s">
        <v>18</v>
      </c>
      <c r="C125" s="27" t="s">
        <v>125</v>
      </c>
      <c r="D125" s="27"/>
      <c r="E125" s="27" t="s">
        <v>62</v>
      </c>
      <c r="F125" s="27" t="s">
        <v>15</v>
      </c>
      <c r="G125" s="28" t="s">
        <v>249</v>
      </c>
      <c r="H125" s="29">
        <f t="shared" si="7"/>
        <v>4.1666666666666741E-2</v>
      </c>
      <c r="I125" s="30">
        <v>0.60416666666666663</v>
      </c>
      <c r="J125" s="30">
        <v>0.64583333333333337</v>
      </c>
    </row>
    <row r="126" spans="1:10" x14ac:dyDescent="0.2">
      <c r="A126" s="22">
        <v>46140</v>
      </c>
      <c r="B126" s="22" t="s">
        <v>18</v>
      </c>
      <c r="C126" s="27" t="s">
        <v>125</v>
      </c>
      <c r="D126" s="27"/>
      <c r="E126" s="27" t="s">
        <v>64</v>
      </c>
      <c r="F126" s="27" t="s">
        <v>15</v>
      </c>
      <c r="G126" s="28" t="s">
        <v>254</v>
      </c>
      <c r="H126" s="29">
        <f t="shared" si="7"/>
        <v>2.0833333333333259E-2</v>
      </c>
      <c r="I126" s="30">
        <v>0.64583333333333337</v>
      </c>
      <c r="J126" s="30">
        <v>0.66666666666666663</v>
      </c>
    </row>
    <row r="127" spans="1:10" ht="25.5" x14ac:dyDescent="0.2">
      <c r="A127" s="22">
        <v>46140</v>
      </c>
      <c r="B127" s="22" t="s">
        <v>18</v>
      </c>
      <c r="C127" s="27" t="s">
        <v>125</v>
      </c>
      <c r="D127" s="27"/>
      <c r="E127" s="27" t="s">
        <v>62</v>
      </c>
      <c r="F127" s="27" t="s">
        <v>15</v>
      </c>
      <c r="G127" s="28" t="s">
        <v>224</v>
      </c>
      <c r="H127" s="29">
        <f>J127-I127</f>
        <v>3.5416666666666652E-2</v>
      </c>
      <c r="I127" s="30">
        <v>0.66666666666666663</v>
      </c>
      <c r="J127" s="30">
        <v>0.70208333333333328</v>
      </c>
    </row>
    <row r="128" spans="1:10" x14ac:dyDescent="0.2">
      <c r="A128" s="22">
        <v>46140</v>
      </c>
      <c r="B128" s="22" t="s">
        <v>18</v>
      </c>
      <c r="C128" s="27" t="s">
        <v>125</v>
      </c>
      <c r="D128" s="27"/>
      <c r="E128" s="27" t="s">
        <v>62</v>
      </c>
      <c r="F128" s="27" t="s">
        <v>15</v>
      </c>
      <c r="G128" s="28" t="s">
        <v>256</v>
      </c>
      <c r="H128" s="29">
        <f>J128-I128</f>
        <v>2.7083333333333348E-2</v>
      </c>
      <c r="I128" s="30">
        <v>0.70208333333333328</v>
      </c>
      <c r="J128" s="30">
        <v>0.72916666666666663</v>
      </c>
    </row>
    <row r="129" spans="1:10" x14ac:dyDescent="0.2">
      <c r="A129" s="22">
        <v>46141</v>
      </c>
      <c r="B129" s="22" t="s">
        <v>19</v>
      </c>
      <c r="C129" s="27" t="s">
        <v>125</v>
      </c>
      <c r="D129" s="27"/>
      <c r="E129" s="27" t="s">
        <v>62</v>
      </c>
      <c r="F129" s="27" t="s">
        <v>15</v>
      </c>
      <c r="G129" s="28" t="s">
        <v>222</v>
      </c>
      <c r="H129" s="29">
        <f t="shared" ref="H129:H143" si="8">J129-I129</f>
        <v>1.3888888888888895E-2</v>
      </c>
      <c r="I129" s="126">
        <v>0.33333333333333331</v>
      </c>
      <c r="J129" s="126">
        <v>0.34722222222222221</v>
      </c>
    </row>
    <row r="130" spans="1:10" x14ac:dyDescent="0.2">
      <c r="A130" s="22">
        <v>46141</v>
      </c>
      <c r="B130" s="22" t="s">
        <v>19</v>
      </c>
      <c r="C130" s="27" t="s">
        <v>125</v>
      </c>
      <c r="D130" s="27"/>
      <c r="E130" s="27" t="s">
        <v>62</v>
      </c>
      <c r="F130" s="27" t="s">
        <v>15</v>
      </c>
      <c r="G130" s="127" t="s">
        <v>255</v>
      </c>
      <c r="H130" s="29">
        <f t="shared" si="8"/>
        <v>2.9166666666666674E-2</v>
      </c>
      <c r="I130" s="126">
        <v>0.35416666666666669</v>
      </c>
      <c r="J130" s="126">
        <v>0.38333333333333336</v>
      </c>
    </row>
    <row r="131" spans="1:10" x14ac:dyDescent="0.2">
      <c r="A131" s="22">
        <v>46141</v>
      </c>
      <c r="B131" s="22" t="s">
        <v>19</v>
      </c>
      <c r="C131" s="27" t="s">
        <v>125</v>
      </c>
      <c r="D131" s="27"/>
      <c r="E131" s="27" t="s">
        <v>221</v>
      </c>
      <c r="F131" s="27" t="s">
        <v>15</v>
      </c>
      <c r="G131" s="23" t="s">
        <v>258</v>
      </c>
      <c r="H131" s="29">
        <f t="shared" si="8"/>
        <v>1.2499999999999956E-2</v>
      </c>
      <c r="I131" s="126">
        <v>0.38333333333333336</v>
      </c>
      <c r="J131" s="126">
        <v>0.39583333333333331</v>
      </c>
    </row>
    <row r="132" spans="1:10" ht="25.5" x14ac:dyDescent="0.2">
      <c r="A132" s="22">
        <v>46141</v>
      </c>
      <c r="B132" s="22" t="s">
        <v>19</v>
      </c>
      <c r="C132" s="27" t="s">
        <v>125</v>
      </c>
      <c r="D132" s="27"/>
      <c r="E132" s="27" t="s">
        <v>62</v>
      </c>
      <c r="F132" s="27" t="s">
        <v>15</v>
      </c>
      <c r="G132" s="28" t="s">
        <v>259</v>
      </c>
      <c r="H132" s="29">
        <f t="shared" si="8"/>
        <v>6.25E-2</v>
      </c>
      <c r="I132" s="126">
        <v>0.39583333333333331</v>
      </c>
      <c r="J132" s="30">
        <v>0.45833333333333331</v>
      </c>
    </row>
    <row r="133" spans="1:10" x14ac:dyDescent="0.2">
      <c r="A133" s="22">
        <v>46141</v>
      </c>
      <c r="B133" s="22" t="s">
        <v>19</v>
      </c>
      <c r="C133" s="27" t="s">
        <v>125</v>
      </c>
      <c r="D133" s="27"/>
      <c r="E133" s="27" t="s">
        <v>62</v>
      </c>
      <c r="F133" s="27" t="s">
        <v>15</v>
      </c>
      <c r="G133" s="28" t="s">
        <v>223</v>
      </c>
      <c r="H133" s="29">
        <f t="shared" si="8"/>
        <v>3.3333333333333326E-2</v>
      </c>
      <c r="I133" s="30">
        <v>0.45833333333333331</v>
      </c>
      <c r="J133" s="30">
        <v>0.49166666666666664</v>
      </c>
    </row>
    <row r="134" spans="1:10" x14ac:dyDescent="0.2">
      <c r="A134" s="22">
        <v>46141</v>
      </c>
      <c r="B134" s="22" t="s">
        <v>19</v>
      </c>
      <c r="C134" s="27" t="s">
        <v>125</v>
      </c>
      <c r="D134" s="27"/>
      <c r="E134" s="27" t="s">
        <v>221</v>
      </c>
      <c r="F134" s="27" t="s">
        <v>15</v>
      </c>
      <c r="G134" s="23" t="s">
        <v>260</v>
      </c>
      <c r="H134" s="29">
        <f t="shared" si="8"/>
        <v>3.2638888888888939E-2</v>
      </c>
      <c r="I134" s="30">
        <v>0.49166666666666664</v>
      </c>
      <c r="J134" s="30">
        <v>0.52430555555555558</v>
      </c>
    </row>
    <row r="135" spans="1:10" ht="25.5" x14ac:dyDescent="0.2">
      <c r="A135" s="22">
        <v>46141</v>
      </c>
      <c r="B135" s="22" t="s">
        <v>19</v>
      </c>
      <c r="C135" s="27" t="s">
        <v>125</v>
      </c>
      <c r="D135" s="27"/>
      <c r="E135" s="27" t="s">
        <v>221</v>
      </c>
      <c r="F135" s="27" t="s">
        <v>15</v>
      </c>
      <c r="G135" s="28" t="s">
        <v>261</v>
      </c>
      <c r="H135" s="29">
        <f t="shared" si="8"/>
        <v>0.10069444444444442</v>
      </c>
      <c r="I135" s="30">
        <v>0.56597222222222221</v>
      </c>
      <c r="J135" s="30">
        <v>0.66666666666666663</v>
      </c>
    </row>
    <row r="136" spans="1:10" ht="25.5" x14ac:dyDescent="0.2">
      <c r="A136" s="22">
        <v>46141</v>
      </c>
      <c r="B136" s="22" t="s">
        <v>19</v>
      </c>
      <c r="C136" s="27" t="s">
        <v>125</v>
      </c>
      <c r="D136" s="27"/>
      <c r="E136" s="27" t="s">
        <v>62</v>
      </c>
      <c r="F136" s="27" t="s">
        <v>15</v>
      </c>
      <c r="G136" s="28" t="s">
        <v>224</v>
      </c>
      <c r="H136" s="29">
        <f t="shared" si="8"/>
        <v>4.4444444444444509E-2</v>
      </c>
      <c r="I136" s="30">
        <v>0.66666666666666663</v>
      </c>
      <c r="J136" s="30">
        <v>0.71111111111111114</v>
      </c>
    </row>
    <row r="137" spans="1:10" x14ac:dyDescent="0.2">
      <c r="A137" s="22">
        <v>46142</v>
      </c>
      <c r="B137" s="22" t="s">
        <v>20</v>
      </c>
      <c r="C137" s="27" t="s">
        <v>125</v>
      </c>
      <c r="D137" s="27"/>
      <c r="E137" s="27" t="s">
        <v>62</v>
      </c>
      <c r="F137" s="27" t="s">
        <v>15</v>
      </c>
      <c r="G137" s="28" t="s">
        <v>222</v>
      </c>
      <c r="H137" s="29">
        <f t="shared" si="8"/>
        <v>1.3888888888888895E-2</v>
      </c>
      <c r="I137" s="126">
        <v>0.33333333333333331</v>
      </c>
      <c r="J137" s="126">
        <v>0.34722222222222221</v>
      </c>
    </row>
    <row r="138" spans="1:10" x14ac:dyDescent="0.2">
      <c r="A138" s="22">
        <v>46142</v>
      </c>
      <c r="B138" s="22" t="s">
        <v>20</v>
      </c>
      <c r="C138" s="27" t="s">
        <v>125</v>
      </c>
      <c r="D138" s="27"/>
      <c r="E138" s="27" t="s">
        <v>221</v>
      </c>
      <c r="F138" s="27" t="s">
        <v>15</v>
      </c>
      <c r="G138" s="23" t="s">
        <v>252</v>
      </c>
      <c r="H138" s="29">
        <f t="shared" si="8"/>
        <v>6.9444444444444475E-2</v>
      </c>
      <c r="I138" s="126">
        <v>0.34722222222222221</v>
      </c>
      <c r="J138" s="30">
        <v>0.41666666666666669</v>
      </c>
    </row>
    <row r="139" spans="1:10" x14ac:dyDescent="0.2">
      <c r="A139" s="22">
        <v>46142</v>
      </c>
      <c r="B139" s="22" t="s">
        <v>20</v>
      </c>
      <c r="C139" s="27" t="s">
        <v>125</v>
      </c>
      <c r="D139" s="27"/>
      <c r="E139" s="27" t="s">
        <v>62</v>
      </c>
      <c r="F139" s="27" t="s">
        <v>15</v>
      </c>
      <c r="G139" s="28" t="s">
        <v>223</v>
      </c>
      <c r="H139" s="29">
        <f t="shared" si="8"/>
        <v>4.166666666666663E-2</v>
      </c>
      <c r="I139" s="30">
        <v>0.41666666666666669</v>
      </c>
      <c r="J139" s="30">
        <v>0.45833333333333331</v>
      </c>
    </row>
    <row r="140" spans="1:10" ht="25.5" x14ac:dyDescent="0.2">
      <c r="A140" s="22">
        <v>46142</v>
      </c>
      <c r="B140" s="22" t="s">
        <v>20</v>
      </c>
      <c r="C140" s="27" t="s">
        <v>125</v>
      </c>
      <c r="D140" s="27"/>
      <c r="E140" s="27" t="s">
        <v>64</v>
      </c>
      <c r="F140" s="27" t="s">
        <v>15</v>
      </c>
      <c r="G140" s="28" t="s">
        <v>251</v>
      </c>
      <c r="H140" s="29">
        <f t="shared" si="8"/>
        <v>6.2500000000000056E-2</v>
      </c>
      <c r="I140" s="30">
        <v>0.45833333333333331</v>
      </c>
      <c r="J140" s="30">
        <v>0.52083333333333337</v>
      </c>
    </row>
    <row r="141" spans="1:10" ht="25.5" x14ac:dyDescent="0.2">
      <c r="A141" s="22">
        <v>46142</v>
      </c>
      <c r="B141" s="22" t="s">
        <v>20</v>
      </c>
      <c r="C141" s="27" t="s">
        <v>125</v>
      </c>
      <c r="D141" s="27"/>
      <c r="E141" s="27" t="s">
        <v>221</v>
      </c>
      <c r="F141" s="27" t="s">
        <v>15</v>
      </c>
      <c r="G141" s="28" t="s">
        <v>261</v>
      </c>
      <c r="H141" s="29">
        <f t="shared" si="8"/>
        <v>4.166666666666663E-2</v>
      </c>
      <c r="I141" s="30">
        <v>0.5625</v>
      </c>
      <c r="J141" s="30">
        <v>0.60416666666666663</v>
      </c>
    </row>
    <row r="142" spans="1:10" ht="25.5" x14ac:dyDescent="0.2">
      <c r="A142" s="22">
        <v>46142</v>
      </c>
      <c r="B142" s="22" t="s">
        <v>20</v>
      </c>
      <c r="C142" s="27" t="s">
        <v>125</v>
      </c>
      <c r="D142" s="27"/>
      <c r="E142" s="27" t="s">
        <v>62</v>
      </c>
      <c r="F142" s="27" t="s">
        <v>15</v>
      </c>
      <c r="G142" s="28" t="s">
        <v>262</v>
      </c>
      <c r="H142" s="29">
        <f t="shared" si="8"/>
        <v>6.25E-2</v>
      </c>
      <c r="I142" s="30">
        <v>0.60416666666666663</v>
      </c>
      <c r="J142" s="30">
        <v>0.66666666666666663</v>
      </c>
    </row>
    <row r="143" spans="1:10" ht="25.5" x14ac:dyDescent="0.2">
      <c r="A143" s="22">
        <v>46142</v>
      </c>
      <c r="B143" s="22" t="s">
        <v>20</v>
      </c>
      <c r="C143" s="27" t="s">
        <v>125</v>
      </c>
      <c r="D143" s="27"/>
      <c r="E143" s="27" t="s">
        <v>62</v>
      </c>
      <c r="F143" s="27" t="s">
        <v>15</v>
      </c>
      <c r="G143" s="28" t="s">
        <v>257</v>
      </c>
      <c r="H143" s="29">
        <f t="shared" si="8"/>
        <v>5.4861111111111138E-2</v>
      </c>
      <c r="I143" s="30">
        <v>0.66666666666666663</v>
      </c>
      <c r="J143" s="30">
        <v>0.72152777777777777</v>
      </c>
    </row>
    <row r="144" spans="1:10" ht="14.1" customHeight="1" thickBot="1" x14ac:dyDescent="0.25">
      <c r="A144" s="46"/>
      <c r="B144" s="46"/>
      <c r="G144" s="40"/>
      <c r="H144" s="64"/>
      <c r="I144" s="65"/>
      <c r="J144" s="65"/>
    </row>
    <row r="145" spans="1:8" ht="14.1" customHeight="1" x14ac:dyDescent="0.2">
      <c r="A145" s="4"/>
      <c r="B145" s="4"/>
      <c r="C145" s="5"/>
      <c r="D145" s="6"/>
      <c r="E145" s="7" t="s">
        <v>21</v>
      </c>
      <c r="F145" s="8">
        <v>152</v>
      </c>
      <c r="H145" s="40"/>
    </row>
    <row r="146" spans="1:8" ht="14.1" customHeight="1" thickBot="1" x14ac:dyDescent="0.25">
      <c r="A146" s="4"/>
      <c r="B146" s="4"/>
      <c r="C146" s="9"/>
      <c r="D146" s="2"/>
      <c r="E146" s="10" t="s">
        <v>22</v>
      </c>
      <c r="F146" s="11">
        <v>19</v>
      </c>
      <c r="H146" s="40"/>
    </row>
    <row r="147" spans="1:8" ht="14.1" customHeight="1" thickBot="1" x14ac:dyDescent="0.25">
      <c r="A147" s="128" t="s">
        <v>23</v>
      </c>
      <c r="B147" s="128"/>
      <c r="C147" s="128"/>
      <c r="D147" s="12"/>
      <c r="E147" s="2"/>
      <c r="F147" s="2"/>
      <c r="H147" s="40"/>
    </row>
    <row r="148" spans="1:8" ht="14.25" x14ac:dyDescent="0.2">
      <c r="A148" s="13"/>
      <c r="B148" s="13"/>
      <c r="C148" s="6"/>
      <c r="D148" s="6"/>
      <c r="E148" s="14" t="s">
        <v>24</v>
      </c>
      <c r="F148" s="15">
        <f>SUMIF(F9:F143,"Billable",H9:H143)</f>
        <v>0</v>
      </c>
      <c r="H148" s="38"/>
    </row>
    <row r="149" spans="1:8" ht="15" customHeight="1" thickBot="1" x14ac:dyDescent="0.25">
      <c r="A149" s="129" t="s">
        <v>25</v>
      </c>
      <c r="B149" s="129"/>
      <c r="C149" s="129"/>
      <c r="D149" s="16"/>
      <c r="E149" s="17" t="s">
        <v>26</v>
      </c>
      <c r="F149" s="18">
        <f>SUMIF(F9:F143,"Non-Billable",H9:H143)</f>
        <v>7.2666666666666719</v>
      </c>
      <c r="H149" s="40"/>
    </row>
    <row r="150" spans="1:8" ht="15" thickBot="1" x14ac:dyDescent="0.25">
      <c r="A150" s="2"/>
      <c r="B150" s="2"/>
      <c r="C150" s="2"/>
      <c r="D150" s="2"/>
      <c r="E150" s="19" t="s">
        <v>27</v>
      </c>
      <c r="F150" s="44">
        <f>F148+F149</f>
        <v>7.2666666666666719</v>
      </c>
      <c r="H150" s="40"/>
    </row>
    <row r="151" spans="1:8" ht="13.5" thickBot="1" x14ac:dyDescent="0.25">
      <c r="A151" s="2"/>
      <c r="B151" s="2"/>
      <c r="C151" s="2"/>
      <c r="D151" s="2"/>
      <c r="E151" s="2"/>
      <c r="F151" s="2"/>
      <c r="H151" s="40"/>
    </row>
    <row r="152" spans="1:8" ht="13.5" thickBot="1" x14ac:dyDescent="0.25">
      <c r="A152" s="2"/>
      <c r="B152" s="2"/>
      <c r="C152" s="2"/>
      <c r="D152" s="2"/>
      <c r="E152" s="20" t="s">
        <v>28</v>
      </c>
      <c r="F152" s="21"/>
      <c r="H152" s="40"/>
    </row>
    <row r="153" spans="1:8" ht="13.5" thickBot="1" x14ac:dyDescent="0.25">
      <c r="E153" s="39"/>
      <c r="H153" s="40"/>
    </row>
  </sheetData>
  <mergeCells count="2">
    <mergeCell ref="A147:C147"/>
    <mergeCell ref="A149:C149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153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145:E145 D147:E149 E152">
    <cfRule type="containsText" dxfId="86" priority="3" operator="containsText" text="Religious Leave">
      <formula>NOT(ISERROR(SEARCH("Religious Leave",D145)))</formula>
    </cfRule>
    <cfRule type="containsText" dxfId="85" priority="4" operator="containsText" text="Birthday Leave">
      <formula>NOT(ISERROR(SEARCH("Birthday Leave",D145)))</formula>
    </cfRule>
    <cfRule type="containsText" dxfId="84" priority="5" operator="containsText" text="Study Leave">
      <formula>NOT(ISERROR(SEARCH("Study Leave",D145)))</formula>
    </cfRule>
    <cfRule type="containsText" dxfId="83" priority="6" operator="containsText" text="Family Responsibility Leave">
      <formula>NOT(ISERROR(SEARCH("Family Responsibility Leave",D145)))</formula>
    </cfRule>
    <cfRule type="containsText" dxfId="82" priority="7" operator="containsText" text="Sick Leave">
      <formula>NOT(ISERROR(SEARCH("Sick Leave",D145)))</formula>
    </cfRule>
    <cfRule type="containsText" dxfId="81" priority="8" operator="containsText" text="Annual Leave">
      <formula>NOT(ISERROR(SEARCH("Annual Leave",D145)))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53 J54 I55:J66 J68 I69:J72 J74 I75:J78 I81:I86 J80:J87 I88:J94 J96 I98:J102 I104:J108 J110:J112 I111:I113 I115:I119 I139:J144 J132 I121:I128 I133:J136 J138 J114:J128" xr:uid="{68437EC4-DD9C-463B-9F8D-7339DE1FDE4C}">
      <formula1>0</formula1>
      <formula2>0.999988425925926</formula2>
    </dataValidation>
  </dataValidations>
  <pageMargins left="0.7" right="0.7" top="0.75" bottom="0.75" header="0.3" footer="0.3"/>
  <pageSetup scale="35" orientation="portrait" horizontalDpi="1200" verticalDpi="1200" r:id="rId1"/>
  <rowBreaks count="1" manualBreakCount="1">
    <brk id="116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C9:C144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F9:F144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127"/>
  <sheetViews>
    <sheetView zoomScaleNormal="100" workbookViewId="0">
      <selection activeCell="G119" sqref="G119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3.875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F122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47">
        <v>46143</v>
      </c>
      <c r="B9" s="47" t="s">
        <v>11</v>
      </c>
      <c r="C9" s="48" t="s">
        <v>125</v>
      </c>
      <c r="D9" s="48"/>
      <c r="E9" s="48" t="s">
        <v>89</v>
      </c>
      <c r="F9" s="48" t="s">
        <v>15</v>
      </c>
      <c r="G9" s="49" t="s">
        <v>180</v>
      </c>
      <c r="H9" s="50">
        <f t="shared" ref="H9:H117" si="0"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31">
        <v>46144</v>
      </c>
      <c r="B10" s="31" t="s">
        <v>14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 x14ac:dyDescent="0.2">
      <c r="A11" s="31">
        <v>46145</v>
      </c>
      <c r="B11" s="31" t="s">
        <v>16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22">
        <v>46146</v>
      </c>
      <c r="B12" s="22" t="s">
        <v>17</v>
      </c>
      <c r="C12" s="27" t="s">
        <v>57</v>
      </c>
      <c r="D12" s="27"/>
      <c r="E12" s="27" t="s">
        <v>64</v>
      </c>
      <c r="F12" s="27" t="s">
        <v>15</v>
      </c>
      <c r="G12" s="28" t="s">
        <v>264</v>
      </c>
      <c r="H12" s="29">
        <f t="shared" si="0"/>
        <v>0.29166666666666663</v>
      </c>
      <c r="I12" s="30">
        <v>0.375</v>
      </c>
      <c r="J12" s="30">
        <v>0.66666666666666663</v>
      </c>
    </row>
    <row r="13" spans="1:10" x14ac:dyDescent="0.2">
      <c r="A13" s="22">
        <v>46147</v>
      </c>
      <c r="B13" s="22" t="s">
        <v>18</v>
      </c>
      <c r="C13" s="27" t="s">
        <v>57</v>
      </c>
      <c r="D13" s="27"/>
      <c r="E13" s="27" t="s">
        <v>64</v>
      </c>
      <c r="F13" s="27" t="s">
        <v>15</v>
      </c>
      <c r="G13" s="28" t="s">
        <v>264</v>
      </c>
      <c r="H13" s="29">
        <f t="shared" si="0"/>
        <v>0.29166666666666663</v>
      </c>
      <c r="I13" s="30">
        <v>0.375</v>
      </c>
      <c r="J13" s="30">
        <v>0.66666666666666663</v>
      </c>
    </row>
    <row r="14" spans="1:10" x14ac:dyDescent="0.2">
      <c r="A14" s="22">
        <v>46148</v>
      </c>
      <c r="B14" s="22" t="s">
        <v>19</v>
      </c>
      <c r="C14" s="27" t="s">
        <v>57</v>
      </c>
      <c r="D14" s="27"/>
      <c r="E14" s="27" t="s">
        <v>64</v>
      </c>
      <c r="F14" s="27" t="s">
        <v>15</v>
      </c>
      <c r="G14" s="28" t="s">
        <v>264</v>
      </c>
      <c r="H14" s="29">
        <f t="shared" si="0"/>
        <v>0.29166666666666663</v>
      </c>
      <c r="I14" s="30">
        <v>0.375</v>
      </c>
      <c r="J14" s="30">
        <v>0.66666666666666663</v>
      </c>
    </row>
    <row r="15" spans="1:10" x14ac:dyDescent="0.2">
      <c r="A15" s="22">
        <v>46149</v>
      </c>
      <c r="B15" s="22" t="s">
        <v>20</v>
      </c>
      <c r="C15" s="27" t="s">
        <v>57</v>
      </c>
      <c r="D15" s="27"/>
      <c r="E15" s="27" t="s">
        <v>64</v>
      </c>
      <c r="F15" s="27" t="s">
        <v>15</v>
      </c>
      <c r="G15" s="28" t="s">
        <v>264</v>
      </c>
      <c r="H15" s="29">
        <f>J15-I15</f>
        <v>0.29166666666666663</v>
      </c>
      <c r="I15" s="30">
        <v>0.375</v>
      </c>
      <c r="J15" s="30">
        <v>0.66666666666666663</v>
      </c>
    </row>
    <row r="16" spans="1:10" x14ac:dyDescent="0.2">
      <c r="A16" s="22">
        <v>46150</v>
      </c>
      <c r="B16" s="22" t="s">
        <v>11</v>
      </c>
      <c r="C16" s="27" t="s">
        <v>57</v>
      </c>
      <c r="D16" s="27"/>
      <c r="E16" s="27" t="s">
        <v>64</v>
      </c>
      <c r="F16" s="27" t="s">
        <v>15</v>
      </c>
      <c r="G16" s="28" t="s">
        <v>264</v>
      </c>
      <c r="H16" s="29">
        <f t="shared" si="0"/>
        <v>0.29166666666666663</v>
      </c>
      <c r="I16" s="30">
        <v>0.375</v>
      </c>
      <c r="J16" s="30">
        <v>0.66666666666666663</v>
      </c>
    </row>
    <row r="17" spans="1:10" x14ac:dyDescent="0.2">
      <c r="A17" s="31">
        <v>46151</v>
      </c>
      <c r="B17" s="31" t="s">
        <v>14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31">
        <v>46152</v>
      </c>
      <c r="B18" s="31" t="s">
        <v>16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 x14ac:dyDescent="0.2">
      <c r="A19" s="22">
        <v>46153</v>
      </c>
      <c r="B19" s="22" t="s">
        <v>17</v>
      </c>
      <c r="C19" s="27" t="s">
        <v>125</v>
      </c>
      <c r="D19" s="27"/>
      <c r="E19" s="27" t="s">
        <v>62</v>
      </c>
      <c r="F19" s="27" t="s">
        <v>15</v>
      </c>
      <c r="G19" s="28" t="s">
        <v>222</v>
      </c>
      <c r="H19" s="29">
        <f>J19-I19</f>
        <v>6.9444444444444753E-3</v>
      </c>
      <c r="I19" s="30">
        <v>0.33333333333333331</v>
      </c>
      <c r="J19" s="30">
        <v>0.34027777777777779</v>
      </c>
    </row>
    <row r="20" spans="1:10" ht="25.5" x14ac:dyDescent="0.2">
      <c r="A20" s="22">
        <v>46153</v>
      </c>
      <c r="B20" s="22" t="s">
        <v>17</v>
      </c>
      <c r="C20" s="27" t="s">
        <v>125</v>
      </c>
      <c r="D20" s="27"/>
      <c r="E20" s="27" t="s">
        <v>221</v>
      </c>
      <c r="F20" s="27" t="s">
        <v>15</v>
      </c>
      <c r="G20" s="28" t="s">
        <v>261</v>
      </c>
      <c r="H20" s="29">
        <f t="shared" ref="H20:H31" si="2">J20-I20</f>
        <v>3.472222222222221E-2</v>
      </c>
      <c r="I20" s="30">
        <v>0.34027777777777779</v>
      </c>
      <c r="J20" s="30">
        <v>0.375</v>
      </c>
    </row>
    <row r="21" spans="1:10" x14ac:dyDescent="0.2">
      <c r="A21" s="22">
        <v>46153</v>
      </c>
      <c r="B21" s="22" t="s">
        <v>17</v>
      </c>
      <c r="C21" s="27" t="s">
        <v>125</v>
      </c>
      <c r="D21" s="27"/>
      <c r="E21" s="27" t="s">
        <v>62</v>
      </c>
      <c r="F21" s="27" t="s">
        <v>15</v>
      </c>
      <c r="G21" s="28" t="s">
        <v>263</v>
      </c>
      <c r="H21" s="29">
        <f t="shared" si="2"/>
        <v>1.3888888888888895E-2</v>
      </c>
      <c r="I21" s="30">
        <v>0.375</v>
      </c>
      <c r="J21" s="30">
        <v>0.3888888888888889</v>
      </c>
    </row>
    <row r="22" spans="1:10" ht="25.5" x14ac:dyDescent="0.2">
      <c r="A22" s="22">
        <v>46153</v>
      </c>
      <c r="B22" s="22" t="s">
        <v>17</v>
      </c>
      <c r="C22" s="27" t="s">
        <v>125</v>
      </c>
      <c r="D22" s="27"/>
      <c r="E22" s="27" t="s">
        <v>221</v>
      </c>
      <c r="F22" s="27" t="s">
        <v>15</v>
      </c>
      <c r="G22" s="28" t="s">
        <v>261</v>
      </c>
      <c r="H22" s="29">
        <f t="shared" si="2"/>
        <v>6.944444444444442E-2</v>
      </c>
      <c r="I22" s="30">
        <v>0.3888888888888889</v>
      </c>
      <c r="J22" s="30">
        <v>0.45833333333333331</v>
      </c>
    </row>
    <row r="23" spans="1:10" x14ac:dyDescent="0.2">
      <c r="A23" s="22">
        <v>46153</v>
      </c>
      <c r="B23" s="22" t="s">
        <v>17</v>
      </c>
      <c r="C23" s="27" t="s">
        <v>125</v>
      </c>
      <c r="D23" s="27"/>
      <c r="E23" s="27" t="s">
        <v>62</v>
      </c>
      <c r="F23" s="27" t="s">
        <v>15</v>
      </c>
      <c r="G23" s="28" t="s">
        <v>223</v>
      </c>
      <c r="H23" s="29">
        <f t="shared" si="2"/>
        <v>2.083333333333337E-2</v>
      </c>
      <c r="I23" s="30">
        <v>0.45833333333333331</v>
      </c>
      <c r="J23" s="30">
        <v>0.47916666666666669</v>
      </c>
    </row>
    <row r="24" spans="1:10" ht="25.5" x14ac:dyDescent="0.2">
      <c r="A24" s="22">
        <v>46153</v>
      </c>
      <c r="B24" s="22" t="s">
        <v>17</v>
      </c>
      <c r="C24" s="27" t="s">
        <v>125</v>
      </c>
      <c r="D24" s="27"/>
      <c r="E24" s="27" t="s">
        <v>221</v>
      </c>
      <c r="F24" s="27" t="s">
        <v>15</v>
      </c>
      <c r="G24" s="28" t="s">
        <v>261</v>
      </c>
      <c r="H24" s="29">
        <f t="shared" si="2"/>
        <v>5.2083333333333315E-2</v>
      </c>
      <c r="I24" s="30">
        <v>0.47916666666666669</v>
      </c>
      <c r="J24" s="30">
        <v>0.53125</v>
      </c>
    </row>
    <row r="25" spans="1:10" ht="25.5" x14ac:dyDescent="0.2">
      <c r="A25" s="22">
        <v>46153</v>
      </c>
      <c r="B25" s="22" t="s">
        <v>17</v>
      </c>
      <c r="C25" s="27" t="s">
        <v>125</v>
      </c>
      <c r="D25" s="27"/>
      <c r="E25" s="27" t="s">
        <v>221</v>
      </c>
      <c r="F25" s="27" t="s">
        <v>15</v>
      </c>
      <c r="G25" s="28" t="s">
        <v>261</v>
      </c>
      <c r="H25" s="29">
        <f t="shared" si="2"/>
        <v>9.375E-2</v>
      </c>
      <c r="I25" s="30">
        <v>0.57291666666666663</v>
      </c>
      <c r="J25" s="30">
        <v>0.66666666666666663</v>
      </c>
    </row>
    <row r="26" spans="1:10" ht="25.5" x14ac:dyDescent="0.2">
      <c r="A26" s="22">
        <v>46153</v>
      </c>
      <c r="B26" s="22" t="s">
        <v>17</v>
      </c>
      <c r="C26" s="27" t="s">
        <v>125</v>
      </c>
      <c r="D26" s="27"/>
      <c r="E26" s="27" t="s">
        <v>62</v>
      </c>
      <c r="F26" s="27" t="s">
        <v>15</v>
      </c>
      <c r="G26" s="28" t="s">
        <v>224</v>
      </c>
      <c r="H26" s="29">
        <f t="shared" si="2"/>
        <v>4.861111111111116E-2</v>
      </c>
      <c r="I26" s="30">
        <v>0.66666666666666663</v>
      </c>
      <c r="J26" s="30">
        <v>0.71527777777777779</v>
      </c>
    </row>
    <row r="27" spans="1:10" ht="25.5" x14ac:dyDescent="0.2">
      <c r="A27" s="22">
        <v>46154</v>
      </c>
      <c r="B27" s="22" t="s">
        <v>18</v>
      </c>
      <c r="C27" s="27" t="s">
        <v>125</v>
      </c>
      <c r="D27" s="27"/>
      <c r="E27" s="27" t="s">
        <v>221</v>
      </c>
      <c r="F27" s="27" t="s">
        <v>15</v>
      </c>
      <c r="G27" s="28" t="s">
        <v>261</v>
      </c>
      <c r="H27" s="29">
        <f t="shared" si="2"/>
        <v>0.125</v>
      </c>
      <c r="I27" s="30">
        <v>0.33333333333333331</v>
      </c>
      <c r="J27" s="30">
        <v>0.45833333333333331</v>
      </c>
    </row>
    <row r="28" spans="1:10" x14ac:dyDescent="0.2">
      <c r="A28" s="22">
        <v>46154</v>
      </c>
      <c r="B28" s="22" t="s">
        <v>18</v>
      </c>
      <c r="C28" s="27" t="s">
        <v>125</v>
      </c>
      <c r="D28" s="27"/>
      <c r="E28" s="27" t="s">
        <v>62</v>
      </c>
      <c r="F28" s="27" t="s">
        <v>15</v>
      </c>
      <c r="G28" s="28" t="s">
        <v>223</v>
      </c>
      <c r="H28" s="29">
        <f t="shared" si="2"/>
        <v>3.6805555555555591E-2</v>
      </c>
      <c r="I28" s="30">
        <v>0.45833333333333331</v>
      </c>
      <c r="J28" s="30">
        <v>0.49513888888888891</v>
      </c>
    </row>
    <row r="29" spans="1:10" ht="25.5" x14ac:dyDescent="0.2">
      <c r="A29" s="22">
        <v>46154</v>
      </c>
      <c r="B29" s="22" t="s">
        <v>18</v>
      </c>
      <c r="C29" s="27" t="s">
        <v>125</v>
      </c>
      <c r="D29" s="27"/>
      <c r="E29" s="27" t="s">
        <v>221</v>
      </c>
      <c r="F29" s="27" t="s">
        <v>15</v>
      </c>
      <c r="G29" s="28" t="s">
        <v>261</v>
      </c>
      <c r="H29" s="29">
        <f t="shared" si="2"/>
        <v>2.7083333333333348E-2</v>
      </c>
      <c r="I29" s="30">
        <v>0.49513888888888891</v>
      </c>
      <c r="J29" s="30">
        <v>0.52222222222222225</v>
      </c>
    </row>
    <row r="30" spans="1:10" ht="25.5" x14ac:dyDescent="0.2">
      <c r="A30" s="22">
        <v>46154</v>
      </c>
      <c r="B30" s="22" t="s">
        <v>18</v>
      </c>
      <c r="C30" s="27" t="s">
        <v>125</v>
      </c>
      <c r="D30" s="27"/>
      <c r="E30" s="27" t="s">
        <v>221</v>
      </c>
      <c r="F30" s="27" t="s">
        <v>15</v>
      </c>
      <c r="G30" s="28" t="s">
        <v>261</v>
      </c>
      <c r="H30" s="29">
        <f t="shared" si="2"/>
        <v>0.10277777777777775</v>
      </c>
      <c r="I30" s="30">
        <v>0.56388888888888888</v>
      </c>
      <c r="J30" s="30">
        <v>0.66666666666666663</v>
      </c>
    </row>
    <row r="31" spans="1:10" ht="25.5" x14ac:dyDescent="0.2">
      <c r="A31" s="22">
        <v>46154</v>
      </c>
      <c r="B31" s="22" t="s">
        <v>18</v>
      </c>
      <c r="C31" s="27" t="s">
        <v>125</v>
      </c>
      <c r="D31" s="27"/>
      <c r="E31" s="27" t="s">
        <v>62</v>
      </c>
      <c r="F31" s="27" t="s">
        <v>15</v>
      </c>
      <c r="G31" s="28" t="s">
        <v>224</v>
      </c>
      <c r="H31" s="29">
        <f t="shared" si="2"/>
        <v>4.0972222222222299E-2</v>
      </c>
      <c r="I31" s="30">
        <v>0.66666666666666663</v>
      </c>
      <c r="J31" s="30">
        <v>0.70763888888888893</v>
      </c>
    </row>
    <row r="32" spans="1:10" x14ac:dyDescent="0.2">
      <c r="A32" s="22">
        <v>46155</v>
      </c>
      <c r="B32" s="22" t="s">
        <v>19</v>
      </c>
      <c r="C32" s="27"/>
      <c r="D32" s="27"/>
      <c r="E32" s="27" t="s">
        <v>81</v>
      </c>
      <c r="F32" s="27"/>
      <c r="G32" s="28"/>
      <c r="H32" s="29">
        <f t="shared" si="0"/>
        <v>0</v>
      </c>
      <c r="I32" s="30"/>
      <c r="J32" s="30"/>
    </row>
    <row r="33" spans="1:10" x14ac:dyDescent="0.2">
      <c r="A33" s="22">
        <v>46156</v>
      </c>
      <c r="B33" s="22" t="s">
        <v>20</v>
      </c>
      <c r="C33" s="27" t="s">
        <v>125</v>
      </c>
      <c r="D33" s="27"/>
      <c r="E33" s="27" t="s">
        <v>62</v>
      </c>
      <c r="F33" s="27" t="s">
        <v>15</v>
      </c>
      <c r="G33" s="28" t="s">
        <v>222</v>
      </c>
      <c r="H33" s="29">
        <f t="shared" si="0"/>
        <v>2.0833333333333259E-3</v>
      </c>
      <c r="I33" s="30">
        <v>0.33333333333333331</v>
      </c>
      <c r="J33" s="30">
        <v>0.33541666666666664</v>
      </c>
    </row>
    <row r="34" spans="1:10" ht="25.5" x14ac:dyDescent="0.2">
      <c r="A34" s="22">
        <v>46156</v>
      </c>
      <c r="B34" s="22" t="s">
        <v>20</v>
      </c>
      <c r="C34" s="27" t="s">
        <v>125</v>
      </c>
      <c r="D34" s="27"/>
      <c r="E34" s="27" t="s">
        <v>221</v>
      </c>
      <c r="F34" s="27" t="s">
        <v>15</v>
      </c>
      <c r="G34" s="28" t="s">
        <v>261</v>
      </c>
      <c r="H34" s="29">
        <f t="shared" si="0"/>
        <v>0.12291666666666667</v>
      </c>
      <c r="I34" s="30">
        <v>0.33541666666666664</v>
      </c>
      <c r="J34" s="30">
        <v>0.45833333333333331</v>
      </c>
    </row>
    <row r="35" spans="1:10" x14ac:dyDescent="0.2">
      <c r="A35" s="22">
        <v>46156</v>
      </c>
      <c r="B35" s="22" t="s">
        <v>20</v>
      </c>
      <c r="C35" s="27" t="s">
        <v>125</v>
      </c>
      <c r="D35" s="27"/>
      <c r="E35" s="27" t="s">
        <v>62</v>
      </c>
      <c r="F35" s="27" t="s">
        <v>15</v>
      </c>
      <c r="G35" s="28" t="s">
        <v>223</v>
      </c>
      <c r="H35" s="29">
        <f t="shared" si="0"/>
        <v>1.9444444444444486E-2</v>
      </c>
      <c r="I35" s="30">
        <v>0.45833333333333331</v>
      </c>
      <c r="J35" s="30">
        <v>0.4777777777777778</v>
      </c>
    </row>
    <row r="36" spans="1:10" ht="25.5" x14ac:dyDescent="0.2">
      <c r="A36" s="22">
        <v>46156</v>
      </c>
      <c r="B36" s="22" t="s">
        <v>20</v>
      </c>
      <c r="C36" s="27" t="s">
        <v>125</v>
      </c>
      <c r="D36" s="27"/>
      <c r="E36" s="27" t="s">
        <v>221</v>
      </c>
      <c r="F36" s="27" t="s">
        <v>15</v>
      </c>
      <c r="G36" s="28" t="s">
        <v>261</v>
      </c>
      <c r="H36" s="29">
        <f t="shared" si="0"/>
        <v>5.9722222222222177E-2</v>
      </c>
      <c r="I36" s="30">
        <v>0.4777777777777778</v>
      </c>
      <c r="J36" s="30">
        <v>0.53749999999999998</v>
      </c>
    </row>
    <row r="37" spans="1:10" ht="25.5" x14ac:dyDescent="0.2">
      <c r="A37" s="22">
        <v>46156</v>
      </c>
      <c r="B37" s="22" t="s">
        <v>20</v>
      </c>
      <c r="C37" s="27" t="s">
        <v>125</v>
      </c>
      <c r="D37" s="27"/>
      <c r="E37" s="27" t="s">
        <v>221</v>
      </c>
      <c r="F37" s="27" t="s">
        <v>15</v>
      </c>
      <c r="G37" s="28" t="s">
        <v>261</v>
      </c>
      <c r="H37" s="29">
        <f t="shared" si="0"/>
        <v>8.7499999999999911E-2</v>
      </c>
      <c r="I37" s="30">
        <v>0.57916666666666672</v>
      </c>
      <c r="J37" s="30">
        <v>0.66666666666666663</v>
      </c>
    </row>
    <row r="38" spans="1:10" ht="25.5" x14ac:dyDescent="0.2">
      <c r="A38" s="22">
        <v>46156</v>
      </c>
      <c r="B38" s="22" t="s">
        <v>20</v>
      </c>
      <c r="C38" s="27" t="s">
        <v>125</v>
      </c>
      <c r="D38" s="27"/>
      <c r="E38" s="27" t="s">
        <v>62</v>
      </c>
      <c r="F38" s="27" t="s">
        <v>15</v>
      </c>
      <c r="G38" s="28" t="s">
        <v>224</v>
      </c>
      <c r="H38" s="29">
        <f t="shared" si="0"/>
        <v>4.5833333333333393E-2</v>
      </c>
      <c r="I38" s="30">
        <v>0.66666666666666663</v>
      </c>
      <c r="J38" s="30">
        <v>0.71250000000000002</v>
      </c>
    </row>
    <row r="39" spans="1:10" x14ac:dyDescent="0.2">
      <c r="A39" s="22">
        <v>46157</v>
      </c>
      <c r="B39" s="22" t="s">
        <v>11</v>
      </c>
      <c r="C39" s="27" t="s">
        <v>125</v>
      </c>
      <c r="D39" s="27"/>
      <c r="E39" s="27" t="s">
        <v>62</v>
      </c>
      <c r="F39" s="27" t="s">
        <v>15</v>
      </c>
      <c r="G39" s="28" t="s">
        <v>222</v>
      </c>
      <c r="H39" s="29">
        <f t="shared" si="0"/>
        <v>6.9444444444444198E-4</v>
      </c>
      <c r="I39" s="30">
        <v>0.33333333333333331</v>
      </c>
      <c r="J39" s="30">
        <v>0.33402777777777776</v>
      </c>
    </row>
    <row r="40" spans="1:10" ht="25.5" x14ac:dyDescent="0.2">
      <c r="A40" s="22">
        <v>46157</v>
      </c>
      <c r="B40" s="22" t="s">
        <v>11</v>
      </c>
      <c r="C40" s="27" t="s">
        <v>125</v>
      </c>
      <c r="D40" s="27"/>
      <c r="E40" s="27" t="s">
        <v>221</v>
      </c>
      <c r="F40" s="27" t="s">
        <v>15</v>
      </c>
      <c r="G40" s="28" t="s">
        <v>261</v>
      </c>
      <c r="H40" s="29">
        <f t="shared" si="0"/>
        <v>0.12430555555555556</v>
      </c>
      <c r="I40" s="30">
        <v>0.33402777777777776</v>
      </c>
      <c r="J40" s="30">
        <v>0.45833333333333331</v>
      </c>
    </row>
    <row r="41" spans="1:10" x14ac:dyDescent="0.2">
      <c r="A41" s="22">
        <v>46157</v>
      </c>
      <c r="B41" s="22" t="s">
        <v>11</v>
      </c>
      <c r="C41" s="27" t="s">
        <v>125</v>
      </c>
      <c r="D41" s="27"/>
      <c r="E41" s="27" t="s">
        <v>62</v>
      </c>
      <c r="F41" s="27" t="s">
        <v>15</v>
      </c>
      <c r="G41" s="28" t="s">
        <v>223</v>
      </c>
      <c r="H41" s="29">
        <f t="shared" si="0"/>
        <v>1.4583333333333337E-2</v>
      </c>
      <c r="I41" s="30">
        <v>0.45833333333333331</v>
      </c>
      <c r="J41" s="30">
        <v>0.47291666666666665</v>
      </c>
    </row>
    <row r="42" spans="1:10" ht="25.5" x14ac:dyDescent="0.2">
      <c r="A42" s="22">
        <v>46157</v>
      </c>
      <c r="B42" s="22" t="s">
        <v>11</v>
      </c>
      <c r="C42" s="27" t="s">
        <v>125</v>
      </c>
      <c r="D42" s="27"/>
      <c r="E42" s="27" t="s">
        <v>221</v>
      </c>
      <c r="F42" s="27" t="s">
        <v>15</v>
      </c>
      <c r="G42" s="28" t="s">
        <v>261</v>
      </c>
      <c r="H42" s="29">
        <f t="shared" si="0"/>
        <v>4.7916666666666718E-2</v>
      </c>
      <c r="I42" s="30">
        <v>0.47291666666666665</v>
      </c>
      <c r="J42" s="30">
        <v>0.52083333333333337</v>
      </c>
    </row>
    <row r="43" spans="1:10" ht="25.5" x14ac:dyDescent="0.2">
      <c r="A43" s="22">
        <v>46157</v>
      </c>
      <c r="B43" s="22" t="s">
        <v>11</v>
      </c>
      <c r="C43" s="27" t="s">
        <v>125</v>
      </c>
      <c r="D43" s="27"/>
      <c r="E43" s="27" t="s">
        <v>221</v>
      </c>
      <c r="F43" s="27" t="s">
        <v>15</v>
      </c>
      <c r="G43" s="28" t="s">
        <v>261</v>
      </c>
      <c r="H43" s="29">
        <f t="shared" si="0"/>
        <v>0.10416666666666663</v>
      </c>
      <c r="I43" s="30">
        <v>0.5625</v>
      </c>
      <c r="J43" s="30">
        <v>0.66666666666666663</v>
      </c>
    </row>
    <row r="44" spans="1:10" ht="25.5" x14ac:dyDescent="0.2">
      <c r="A44" s="22">
        <v>46157</v>
      </c>
      <c r="B44" s="22" t="s">
        <v>11</v>
      </c>
      <c r="C44" s="27" t="s">
        <v>125</v>
      </c>
      <c r="D44" s="27"/>
      <c r="E44" s="27" t="s">
        <v>62</v>
      </c>
      <c r="F44" s="27" t="s">
        <v>15</v>
      </c>
      <c r="G44" s="28" t="s">
        <v>224</v>
      </c>
      <c r="H44" s="29">
        <f>J44-I44</f>
        <v>4.1666666666666741E-2</v>
      </c>
      <c r="I44" s="30">
        <v>0.66666666666666663</v>
      </c>
      <c r="J44" s="30">
        <v>0.70833333333333337</v>
      </c>
    </row>
    <row r="45" spans="1:10" x14ac:dyDescent="0.2">
      <c r="A45" s="31">
        <v>46158</v>
      </c>
      <c r="B45" s="31" t="s">
        <v>14</v>
      </c>
      <c r="C45" s="32"/>
      <c r="D45" s="32"/>
      <c r="E45" s="32"/>
      <c r="F45" s="32"/>
      <c r="G45" s="33"/>
      <c r="H45" s="34">
        <f t="shared" si="0"/>
        <v>0</v>
      </c>
      <c r="I45" s="35"/>
      <c r="J45" s="35"/>
    </row>
    <row r="46" spans="1:10" x14ac:dyDescent="0.2">
      <c r="A46" s="31">
        <v>46159</v>
      </c>
      <c r="B46" s="31" t="s">
        <v>16</v>
      </c>
      <c r="C46" s="32"/>
      <c r="D46" s="32"/>
      <c r="E46" s="32"/>
      <c r="F46" s="32"/>
      <c r="G46" s="33"/>
      <c r="H46" s="34">
        <f t="shared" si="0"/>
        <v>0</v>
      </c>
      <c r="I46" s="35"/>
      <c r="J46" s="35"/>
    </row>
    <row r="47" spans="1:10" x14ac:dyDescent="0.2">
      <c r="A47" s="22">
        <v>46160</v>
      </c>
      <c r="B47" s="22" t="s">
        <v>17</v>
      </c>
      <c r="C47" s="27" t="s">
        <v>125</v>
      </c>
      <c r="D47" s="27"/>
      <c r="E47" s="27" t="s">
        <v>62</v>
      </c>
      <c r="F47" s="27" t="s">
        <v>15</v>
      </c>
      <c r="G47" s="28" t="s">
        <v>222</v>
      </c>
      <c r="H47" s="29">
        <f t="shared" si="0"/>
        <v>1.8055555555555547E-2</v>
      </c>
      <c r="I47" s="30">
        <v>0.33333333333333331</v>
      </c>
      <c r="J47" s="30">
        <v>0.35138888888888886</v>
      </c>
    </row>
    <row r="48" spans="1:10" ht="25.5" x14ac:dyDescent="0.2">
      <c r="A48" s="22">
        <v>46160</v>
      </c>
      <c r="B48" s="22" t="s">
        <v>17</v>
      </c>
      <c r="C48" s="27" t="s">
        <v>125</v>
      </c>
      <c r="D48" s="27"/>
      <c r="E48" s="27" t="s">
        <v>221</v>
      </c>
      <c r="F48" s="27" t="s">
        <v>15</v>
      </c>
      <c r="G48" s="28" t="s">
        <v>261</v>
      </c>
      <c r="H48" s="29">
        <f t="shared" si="0"/>
        <v>0.10694444444444445</v>
      </c>
      <c r="I48" s="30">
        <v>0.35138888888888886</v>
      </c>
      <c r="J48" s="30">
        <v>0.45833333333333331</v>
      </c>
    </row>
    <row r="49" spans="1:10" x14ac:dyDescent="0.2">
      <c r="A49" s="22">
        <v>46160</v>
      </c>
      <c r="B49" s="22" t="s">
        <v>17</v>
      </c>
      <c r="C49" s="27" t="s">
        <v>125</v>
      </c>
      <c r="D49" s="27"/>
      <c r="E49" s="27" t="s">
        <v>62</v>
      </c>
      <c r="F49" s="27" t="s">
        <v>15</v>
      </c>
      <c r="G49" s="28" t="s">
        <v>223</v>
      </c>
      <c r="H49" s="29">
        <f t="shared" si="0"/>
        <v>2.083333333333337E-2</v>
      </c>
      <c r="I49" s="30">
        <v>0.45833333333333331</v>
      </c>
      <c r="J49" s="30">
        <v>0.47916666666666669</v>
      </c>
    </row>
    <row r="50" spans="1:10" ht="25.5" x14ac:dyDescent="0.2">
      <c r="A50" s="22">
        <v>46160</v>
      </c>
      <c r="B50" s="22" t="s">
        <v>17</v>
      </c>
      <c r="C50" s="27" t="s">
        <v>125</v>
      </c>
      <c r="D50" s="27"/>
      <c r="E50" s="27" t="s">
        <v>221</v>
      </c>
      <c r="F50" s="27" t="s">
        <v>15</v>
      </c>
      <c r="G50" s="28" t="s">
        <v>261</v>
      </c>
      <c r="H50" s="29">
        <f t="shared" si="0"/>
        <v>4.1666666666666685E-2</v>
      </c>
      <c r="I50" s="30">
        <v>0.47916666666666669</v>
      </c>
      <c r="J50" s="30">
        <v>0.52083333333333337</v>
      </c>
    </row>
    <row r="51" spans="1:10" ht="25.5" x14ac:dyDescent="0.2">
      <c r="A51" s="22">
        <v>46160</v>
      </c>
      <c r="B51" s="22" t="s">
        <v>17</v>
      </c>
      <c r="C51" s="27" t="s">
        <v>125</v>
      </c>
      <c r="D51" s="27"/>
      <c r="E51" s="27" t="s">
        <v>221</v>
      </c>
      <c r="F51" s="27" t="s">
        <v>15</v>
      </c>
      <c r="G51" s="28" t="s">
        <v>261</v>
      </c>
      <c r="H51" s="29">
        <f t="shared" si="0"/>
        <v>0.10416666666666663</v>
      </c>
      <c r="I51" s="30">
        <v>0.5625</v>
      </c>
      <c r="J51" s="30">
        <v>0.66666666666666663</v>
      </c>
    </row>
    <row r="52" spans="1:10" ht="25.5" x14ac:dyDescent="0.2">
      <c r="A52" s="22">
        <v>46160</v>
      </c>
      <c r="B52" s="22" t="s">
        <v>17</v>
      </c>
      <c r="C52" s="27" t="s">
        <v>125</v>
      </c>
      <c r="D52" s="27"/>
      <c r="E52" s="27" t="s">
        <v>62</v>
      </c>
      <c r="F52" s="27" t="s">
        <v>15</v>
      </c>
      <c r="G52" s="28" t="s">
        <v>224</v>
      </c>
      <c r="H52" s="29">
        <f t="shared" si="0"/>
        <v>4.1666666666666741E-2</v>
      </c>
      <c r="I52" s="30">
        <v>0.66666666666666663</v>
      </c>
      <c r="J52" s="30">
        <v>0.70833333333333337</v>
      </c>
    </row>
    <row r="53" spans="1:10" x14ac:dyDescent="0.2">
      <c r="A53" s="22">
        <v>46161</v>
      </c>
      <c r="B53" s="22" t="s">
        <v>18</v>
      </c>
      <c r="C53" s="27" t="s">
        <v>125</v>
      </c>
      <c r="D53" s="27"/>
      <c r="E53" s="27" t="s">
        <v>62</v>
      </c>
      <c r="F53" s="27" t="s">
        <v>15</v>
      </c>
      <c r="G53" s="28" t="s">
        <v>222</v>
      </c>
      <c r="H53" s="29">
        <f t="shared" si="0"/>
        <v>8.3333333333333592E-3</v>
      </c>
      <c r="I53" s="30">
        <v>0.33333333333333331</v>
      </c>
      <c r="J53" s="30">
        <v>0.34166666666666667</v>
      </c>
    </row>
    <row r="54" spans="1:10" ht="25.5" x14ac:dyDescent="0.2">
      <c r="A54" s="22">
        <v>46161</v>
      </c>
      <c r="B54" s="22" t="s">
        <v>18</v>
      </c>
      <c r="C54" s="27" t="s">
        <v>125</v>
      </c>
      <c r="D54" s="27"/>
      <c r="E54" s="27" t="s">
        <v>221</v>
      </c>
      <c r="F54" s="27" t="s">
        <v>15</v>
      </c>
      <c r="G54" s="28" t="s">
        <v>261</v>
      </c>
      <c r="H54" s="29">
        <f t="shared" si="0"/>
        <v>0.11666666666666664</v>
      </c>
      <c r="I54" s="30">
        <v>0.34166666666666667</v>
      </c>
      <c r="J54" s="30">
        <v>0.45833333333333331</v>
      </c>
    </row>
    <row r="55" spans="1:10" x14ac:dyDescent="0.2">
      <c r="A55" s="22">
        <v>46161</v>
      </c>
      <c r="B55" s="22" t="s">
        <v>18</v>
      </c>
      <c r="C55" s="27" t="s">
        <v>125</v>
      </c>
      <c r="D55" s="27"/>
      <c r="E55" s="27" t="s">
        <v>62</v>
      </c>
      <c r="F55" s="27" t="s">
        <v>15</v>
      </c>
      <c r="G55" s="28" t="s">
        <v>223</v>
      </c>
      <c r="H55" s="29">
        <f t="shared" si="0"/>
        <v>6.9444444444444753E-3</v>
      </c>
      <c r="I55" s="30">
        <v>0.45833333333333331</v>
      </c>
      <c r="J55" s="30">
        <v>0.46527777777777779</v>
      </c>
    </row>
    <row r="56" spans="1:10" ht="25.5" x14ac:dyDescent="0.2">
      <c r="A56" s="22">
        <v>46161</v>
      </c>
      <c r="B56" s="22" t="s">
        <v>18</v>
      </c>
      <c r="C56" s="27" t="s">
        <v>125</v>
      </c>
      <c r="D56" s="27"/>
      <c r="E56" s="27" t="s">
        <v>221</v>
      </c>
      <c r="F56" s="27" t="s">
        <v>15</v>
      </c>
      <c r="G56" s="28" t="s">
        <v>261</v>
      </c>
      <c r="H56" s="29">
        <f t="shared" si="0"/>
        <v>5.555555555555558E-2</v>
      </c>
      <c r="I56" s="30">
        <v>0.46527777777777779</v>
      </c>
      <c r="J56" s="30">
        <v>0.52083333333333337</v>
      </c>
    </row>
    <row r="57" spans="1:10" ht="25.5" x14ac:dyDescent="0.2">
      <c r="A57" s="22">
        <v>46161</v>
      </c>
      <c r="B57" s="22" t="s">
        <v>18</v>
      </c>
      <c r="C57" s="27" t="s">
        <v>125</v>
      </c>
      <c r="D57" s="27"/>
      <c r="E57" s="27" t="s">
        <v>221</v>
      </c>
      <c r="F57" s="27" t="s">
        <v>15</v>
      </c>
      <c r="G57" s="28" t="s">
        <v>261</v>
      </c>
      <c r="H57" s="29">
        <f t="shared" si="0"/>
        <v>0.10416666666666663</v>
      </c>
      <c r="I57" s="30">
        <v>0.5625</v>
      </c>
      <c r="J57" s="30">
        <v>0.66666666666666663</v>
      </c>
    </row>
    <row r="58" spans="1:10" ht="25.5" x14ac:dyDescent="0.2">
      <c r="A58" s="22">
        <v>46161</v>
      </c>
      <c r="B58" s="22" t="s">
        <v>18</v>
      </c>
      <c r="C58" s="27" t="s">
        <v>125</v>
      </c>
      <c r="D58" s="27"/>
      <c r="E58" s="27" t="s">
        <v>62</v>
      </c>
      <c r="F58" s="27" t="s">
        <v>15</v>
      </c>
      <c r="G58" s="28" t="s">
        <v>224</v>
      </c>
      <c r="H58" s="29">
        <f t="shared" si="0"/>
        <v>5.4166666666666696E-2</v>
      </c>
      <c r="I58" s="30">
        <v>0.66666666666666663</v>
      </c>
      <c r="J58" s="30">
        <v>0.72083333333333333</v>
      </c>
    </row>
    <row r="59" spans="1:10" x14ac:dyDescent="0.2">
      <c r="A59" s="22">
        <v>46162</v>
      </c>
      <c r="B59" s="22" t="s">
        <v>19</v>
      </c>
      <c r="C59" s="27" t="s">
        <v>125</v>
      </c>
      <c r="D59" s="27"/>
      <c r="E59" s="27" t="s">
        <v>62</v>
      </c>
      <c r="F59" s="27" t="s">
        <v>15</v>
      </c>
      <c r="G59" s="28" t="s">
        <v>222</v>
      </c>
      <c r="H59" s="29">
        <f t="shared" si="0"/>
        <v>1.0416666666666685E-2</v>
      </c>
      <c r="I59" s="30">
        <v>0.33333333333333331</v>
      </c>
      <c r="J59" s="30">
        <v>0.34375</v>
      </c>
    </row>
    <row r="60" spans="1:10" ht="25.5" x14ac:dyDescent="0.2">
      <c r="A60" s="22">
        <v>46162</v>
      </c>
      <c r="B60" s="22" t="s">
        <v>19</v>
      </c>
      <c r="C60" s="27" t="s">
        <v>125</v>
      </c>
      <c r="D60" s="27"/>
      <c r="E60" s="27" t="s">
        <v>221</v>
      </c>
      <c r="F60" s="27" t="s">
        <v>15</v>
      </c>
      <c r="G60" s="28" t="s">
        <v>261</v>
      </c>
      <c r="H60" s="29">
        <f t="shared" si="0"/>
        <v>0.11458333333333331</v>
      </c>
      <c r="I60" s="30">
        <v>0.34375</v>
      </c>
      <c r="J60" s="30">
        <v>0.45833333333333331</v>
      </c>
    </row>
    <row r="61" spans="1:10" x14ac:dyDescent="0.2">
      <c r="A61" s="22">
        <v>46162</v>
      </c>
      <c r="B61" s="22" t="s">
        <v>19</v>
      </c>
      <c r="C61" s="27" t="s">
        <v>125</v>
      </c>
      <c r="D61" s="27"/>
      <c r="E61" s="27" t="s">
        <v>62</v>
      </c>
      <c r="F61" s="27" t="s">
        <v>15</v>
      </c>
      <c r="G61" s="28" t="s">
        <v>223</v>
      </c>
      <c r="H61" s="29">
        <f t="shared" si="0"/>
        <v>5.5555555555555913E-3</v>
      </c>
      <c r="I61" s="30">
        <v>0.45833333333333331</v>
      </c>
      <c r="J61" s="30">
        <v>0.46388888888888891</v>
      </c>
    </row>
    <row r="62" spans="1:10" ht="25.5" x14ac:dyDescent="0.2">
      <c r="A62" s="22">
        <v>46162</v>
      </c>
      <c r="B62" s="22" t="s">
        <v>19</v>
      </c>
      <c r="C62" s="27" t="s">
        <v>125</v>
      </c>
      <c r="D62" s="27"/>
      <c r="E62" s="27" t="s">
        <v>221</v>
      </c>
      <c r="F62" s="27" t="s">
        <v>15</v>
      </c>
      <c r="G62" s="28" t="s">
        <v>261</v>
      </c>
      <c r="H62" s="29">
        <f t="shared" si="0"/>
        <v>5.6944444444444464E-2</v>
      </c>
      <c r="I62" s="30">
        <v>0.46388888888888891</v>
      </c>
      <c r="J62" s="30">
        <v>0.52083333333333337</v>
      </c>
    </row>
    <row r="63" spans="1:10" ht="25.5" x14ac:dyDescent="0.2">
      <c r="A63" s="22">
        <v>46162</v>
      </c>
      <c r="B63" s="22" t="s">
        <v>19</v>
      </c>
      <c r="C63" s="27" t="s">
        <v>125</v>
      </c>
      <c r="D63" s="27"/>
      <c r="E63" s="27" t="s">
        <v>221</v>
      </c>
      <c r="F63" s="27" t="s">
        <v>15</v>
      </c>
      <c r="G63" s="28" t="s">
        <v>261</v>
      </c>
      <c r="H63" s="29">
        <f>J63-I63</f>
        <v>2.083333333333337E-2</v>
      </c>
      <c r="I63" s="30">
        <v>0.5625</v>
      </c>
      <c r="J63" s="30">
        <v>0.58333333333333337</v>
      </c>
    </row>
    <row r="64" spans="1:10" x14ac:dyDescent="0.2">
      <c r="A64" s="22">
        <v>46162</v>
      </c>
      <c r="B64" s="22" t="s">
        <v>19</v>
      </c>
      <c r="C64" s="27" t="s">
        <v>125</v>
      </c>
      <c r="D64" s="27"/>
      <c r="E64" s="27" t="s">
        <v>62</v>
      </c>
      <c r="F64" s="27" t="s">
        <v>15</v>
      </c>
      <c r="G64" s="23" t="s">
        <v>268</v>
      </c>
      <c r="H64" s="29">
        <f t="shared" ref="H64:H65" si="3">J64-I64</f>
        <v>6.8055555555555536E-2</v>
      </c>
      <c r="I64" s="30">
        <v>0.58333333333333337</v>
      </c>
      <c r="J64" s="30">
        <v>0.65138888888888891</v>
      </c>
    </row>
    <row r="65" spans="1:10" ht="25.5" x14ac:dyDescent="0.2">
      <c r="A65" s="22">
        <v>46162</v>
      </c>
      <c r="B65" s="22" t="s">
        <v>19</v>
      </c>
      <c r="C65" s="27" t="s">
        <v>125</v>
      </c>
      <c r="D65" s="27"/>
      <c r="E65" s="27" t="s">
        <v>62</v>
      </c>
      <c r="F65" s="27" t="s">
        <v>15</v>
      </c>
      <c r="G65" s="28" t="s">
        <v>224</v>
      </c>
      <c r="H65" s="29">
        <f t="shared" si="3"/>
        <v>2.1527777777777812E-2</v>
      </c>
      <c r="I65" s="30">
        <v>0.65138888888888891</v>
      </c>
      <c r="J65" s="30">
        <v>0.67291666666666672</v>
      </c>
    </row>
    <row r="66" spans="1:10" x14ac:dyDescent="0.2">
      <c r="A66" s="22">
        <v>46162</v>
      </c>
      <c r="B66" s="22" t="s">
        <v>19</v>
      </c>
      <c r="C66" s="27" t="s">
        <v>125</v>
      </c>
      <c r="D66" s="27"/>
      <c r="E66" s="27" t="s">
        <v>53</v>
      </c>
      <c r="F66" s="27" t="s">
        <v>15</v>
      </c>
      <c r="G66" s="28" t="s">
        <v>269</v>
      </c>
      <c r="H66" s="29"/>
      <c r="I66" s="30">
        <v>0.67291666666666672</v>
      </c>
      <c r="J66" s="30">
        <v>0.72013888888888888</v>
      </c>
    </row>
    <row r="67" spans="1:10" x14ac:dyDescent="0.2">
      <c r="A67" s="22">
        <v>46163</v>
      </c>
      <c r="B67" s="22" t="s">
        <v>20</v>
      </c>
      <c r="C67" s="27" t="s">
        <v>125</v>
      </c>
      <c r="D67" s="27"/>
      <c r="E67" s="27" t="s">
        <v>62</v>
      </c>
      <c r="F67" s="27" t="s">
        <v>15</v>
      </c>
      <c r="G67" s="28" t="s">
        <v>222</v>
      </c>
      <c r="H67" s="29">
        <f t="shared" si="0"/>
        <v>8.3333333333333592E-3</v>
      </c>
      <c r="I67" s="30">
        <v>0.33333333333333331</v>
      </c>
      <c r="J67" s="30">
        <v>0.34166666666666667</v>
      </c>
    </row>
    <row r="68" spans="1:10" x14ac:dyDescent="0.2">
      <c r="A68" s="22">
        <v>46163</v>
      </c>
      <c r="B68" s="22" t="s">
        <v>20</v>
      </c>
      <c r="C68" s="27" t="s">
        <v>125</v>
      </c>
      <c r="D68" s="27"/>
      <c r="E68" s="27" t="s">
        <v>221</v>
      </c>
      <c r="F68" s="27" t="s">
        <v>15</v>
      </c>
      <c r="G68" s="28" t="s">
        <v>265</v>
      </c>
      <c r="H68" s="29">
        <f t="shared" si="0"/>
        <v>0.11666666666666664</v>
      </c>
      <c r="I68" s="30">
        <v>0.34166666666666667</v>
      </c>
      <c r="J68" s="30">
        <v>0.45833333333333331</v>
      </c>
    </row>
    <row r="69" spans="1:10" x14ac:dyDescent="0.2">
      <c r="A69" s="22">
        <v>46163</v>
      </c>
      <c r="B69" s="22" t="s">
        <v>20</v>
      </c>
      <c r="C69" s="27" t="s">
        <v>125</v>
      </c>
      <c r="D69" s="27"/>
      <c r="E69" s="27" t="s">
        <v>62</v>
      </c>
      <c r="F69" s="27" t="s">
        <v>15</v>
      </c>
      <c r="G69" s="28" t="s">
        <v>223</v>
      </c>
      <c r="H69" s="29">
        <f t="shared" si="0"/>
        <v>1.1805555555555569E-2</v>
      </c>
      <c r="I69" s="30">
        <v>0.45833333333333331</v>
      </c>
      <c r="J69" s="30">
        <v>0.47013888888888888</v>
      </c>
    </row>
    <row r="70" spans="1:10" x14ac:dyDescent="0.2">
      <c r="A70" s="22">
        <v>46163</v>
      </c>
      <c r="B70" s="22" t="s">
        <v>20</v>
      </c>
      <c r="C70" s="27" t="s">
        <v>125</v>
      </c>
      <c r="D70" s="27"/>
      <c r="E70" s="27" t="s">
        <v>221</v>
      </c>
      <c r="F70" s="27" t="s">
        <v>15</v>
      </c>
      <c r="G70" s="28" t="s">
        <v>266</v>
      </c>
      <c r="H70" s="29">
        <f t="shared" si="0"/>
        <v>5.0694444444444486E-2</v>
      </c>
      <c r="I70" s="30">
        <v>0.47013888888888888</v>
      </c>
      <c r="J70" s="30">
        <v>0.52083333333333337</v>
      </c>
    </row>
    <row r="71" spans="1:10" x14ac:dyDescent="0.2">
      <c r="A71" s="22">
        <v>46163</v>
      </c>
      <c r="B71" s="22" t="s">
        <v>20</v>
      </c>
      <c r="C71" s="27" t="s">
        <v>125</v>
      </c>
      <c r="D71" s="27"/>
      <c r="E71" s="27" t="s">
        <v>221</v>
      </c>
      <c r="F71" s="27" t="s">
        <v>15</v>
      </c>
      <c r="G71" s="28" t="s">
        <v>267</v>
      </c>
      <c r="H71" s="29">
        <f t="shared" si="0"/>
        <v>0.10416666666666663</v>
      </c>
      <c r="I71" s="30">
        <v>0.5625</v>
      </c>
      <c r="J71" s="30">
        <v>0.66666666666666663</v>
      </c>
    </row>
    <row r="72" spans="1:10" ht="25.5" x14ac:dyDescent="0.2">
      <c r="A72" s="22">
        <v>46163</v>
      </c>
      <c r="B72" s="22" t="s">
        <v>20</v>
      </c>
      <c r="C72" s="27" t="s">
        <v>125</v>
      </c>
      <c r="D72" s="27"/>
      <c r="E72" s="27" t="s">
        <v>62</v>
      </c>
      <c r="F72" s="27" t="s">
        <v>15</v>
      </c>
      <c r="G72" s="28" t="s">
        <v>224</v>
      </c>
      <c r="H72" s="29">
        <f t="shared" si="0"/>
        <v>4.1666666666666741E-2</v>
      </c>
      <c r="I72" s="30">
        <v>0.66666666666666663</v>
      </c>
      <c r="J72" s="30">
        <v>0.70833333333333337</v>
      </c>
    </row>
    <row r="73" spans="1:10" x14ac:dyDescent="0.2">
      <c r="A73" s="22">
        <v>46164</v>
      </c>
      <c r="B73" s="22" t="s">
        <v>11</v>
      </c>
      <c r="C73" s="27" t="s">
        <v>125</v>
      </c>
      <c r="D73" s="27"/>
      <c r="E73" s="27" t="s">
        <v>62</v>
      </c>
      <c r="F73" s="27" t="s">
        <v>15</v>
      </c>
      <c r="G73" s="28" t="s">
        <v>222</v>
      </c>
      <c r="H73" s="29">
        <f t="shared" si="0"/>
        <v>8.3333333333333592E-3</v>
      </c>
      <c r="I73" s="30">
        <v>0.33333333333333331</v>
      </c>
      <c r="J73" s="30">
        <v>0.34166666666666667</v>
      </c>
    </row>
    <row r="74" spans="1:10" x14ac:dyDescent="0.2">
      <c r="A74" s="22">
        <v>46164</v>
      </c>
      <c r="B74" s="22" t="s">
        <v>11</v>
      </c>
      <c r="C74" s="27" t="s">
        <v>125</v>
      </c>
      <c r="D74" s="27"/>
      <c r="E74" s="27" t="s">
        <v>221</v>
      </c>
      <c r="F74" s="27" t="s">
        <v>15</v>
      </c>
      <c r="G74" s="28" t="s">
        <v>267</v>
      </c>
      <c r="H74" s="29">
        <f t="shared" si="0"/>
        <v>0.11666666666666664</v>
      </c>
      <c r="I74" s="30">
        <v>0.34166666666666667</v>
      </c>
      <c r="J74" s="30">
        <v>0.45833333333333331</v>
      </c>
    </row>
    <row r="75" spans="1:10" x14ac:dyDescent="0.2">
      <c r="A75" s="22">
        <v>46164</v>
      </c>
      <c r="B75" s="22" t="s">
        <v>11</v>
      </c>
      <c r="C75" s="27" t="s">
        <v>125</v>
      </c>
      <c r="D75" s="27"/>
      <c r="E75" s="27" t="s">
        <v>62</v>
      </c>
      <c r="F75" s="27" t="s">
        <v>15</v>
      </c>
      <c r="G75" s="28" t="s">
        <v>223</v>
      </c>
      <c r="H75" s="29">
        <f t="shared" si="0"/>
        <v>2.083333333333337E-2</v>
      </c>
      <c r="I75" s="30">
        <v>0.45833333333333331</v>
      </c>
      <c r="J75" s="30">
        <v>0.47916666666666669</v>
      </c>
    </row>
    <row r="76" spans="1:10" x14ac:dyDescent="0.2">
      <c r="A76" s="22">
        <v>46164</v>
      </c>
      <c r="B76" s="22" t="s">
        <v>11</v>
      </c>
      <c r="C76" s="27" t="s">
        <v>125</v>
      </c>
      <c r="D76" s="27"/>
      <c r="E76" s="27" t="s">
        <v>221</v>
      </c>
      <c r="F76" s="27" t="s">
        <v>15</v>
      </c>
      <c r="G76" s="28" t="s">
        <v>267</v>
      </c>
      <c r="H76" s="29">
        <f t="shared" si="0"/>
        <v>5.2083333333333315E-2</v>
      </c>
      <c r="I76" s="30">
        <v>0.47916666666666669</v>
      </c>
      <c r="J76" s="30">
        <v>0.53125</v>
      </c>
    </row>
    <row r="77" spans="1:10" x14ac:dyDescent="0.2">
      <c r="A77" s="22">
        <v>46164</v>
      </c>
      <c r="B77" s="22" t="s">
        <v>11</v>
      </c>
      <c r="C77" s="27" t="s">
        <v>125</v>
      </c>
      <c r="D77" s="27"/>
      <c r="E77" s="27" t="s">
        <v>221</v>
      </c>
      <c r="F77" s="27" t="s">
        <v>15</v>
      </c>
      <c r="G77" s="28" t="s">
        <v>267</v>
      </c>
      <c r="H77" s="29">
        <f t="shared" si="0"/>
        <v>9.375E-2</v>
      </c>
      <c r="I77" s="30">
        <v>0.57291666666666663</v>
      </c>
      <c r="J77" s="30">
        <v>0.66666666666666663</v>
      </c>
    </row>
    <row r="78" spans="1:10" ht="25.5" x14ac:dyDescent="0.2">
      <c r="A78" s="22">
        <v>46164</v>
      </c>
      <c r="B78" s="22" t="s">
        <v>11</v>
      </c>
      <c r="C78" s="27" t="s">
        <v>125</v>
      </c>
      <c r="D78" s="27"/>
      <c r="E78" s="27" t="s">
        <v>62</v>
      </c>
      <c r="F78" s="27" t="s">
        <v>15</v>
      </c>
      <c r="G78" s="28" t="s">
        <v>224</v>
      </c>
      <c r="H78" s="29">
        <f t="shared" si="0"/>
        <v>5.555555555555558E-2</v>
      </c>
      <c r="I78" s="30">
        <v>0.66666666666666663</v>
      </c>
      <c r="J78" s="30">
        <v>0.72222222222222221</v>
      </c>
    </row>
    <row r="79" spans="1:10" x14ac:dyDescent="0.2">
      <c r="A79" s="31">
        <v>46165</v>
      </c>
      <c r="B79" s="31" t="s">
        <v>14</v>
      </c>
      <c r="C79" s="32"/>
      <c r="D79" s="32"/>
      <c r="E79" s="32"/>
      <c r="F79" s="32"/>
      <c r="G79" s="33"/>
      <c r="H79" s="34">
        <f t="shared" si="0"/>
        <v>0</v>
      </c>
      <c r="I79" s="35"/>
      <c r="J79" s="35"/>
    </row>
    <row r="80" spans="1:10" x14ac:dyDescent="0.2">
      <c r="A80" s="31">
        <v>46166</v>
      </c>
      <c r="B80" s="31" t="s">
        <v>16</v>
      </c>
      <c r="C80" s="32"/>
      <c r="D80" s="32"/>
      <c r="E80" s="32"/>
      <c r="F80" s="32"/>
      <c r="G80" s="33"/>
      <c r="H80" s="34">
        <f t="shared" si="0"/>
        <v>0</v>
      </c>
      <c r="I80" s="35"/>
      <c r="J80" s="35"/>
    </row>
    <row r="81" spans="1:10" x14ac:dyDescent="0.2">
      <c r="A81" s="22">
        <v>46167</v>
      </c>
      <c r="B81" s="22" t="s">
        <v>17</v>
      </c>
      <c r="C81" s="27" t="s">
        <v>125</v>
      </c>
      <c r="D81" s="27"/>
      <c r="E81" s="27" t="s">
        <v>62</v>
      </c>
      <c r="F81" s="27" t="s">
        <v>15</v>
      </c>
      <c r="G81" s="28" t="s">
        <v>222</v>
      </c>
      <c r="H81" s="29">
        <f t="shared" si="0"/>
        <v>1.6666666666666663E-2</v>
      </c>
      <c r="I81" s="30">
        <v>0.33333333333333331</v>
      </c>
      <c r="J81" s="30">
        <v>0.35</v>
      </c>
    </row>
    <row r="82" spans="1:10" x14ac:dyDescent="0.2">
      <c r="A82" s="22">
        <v>46167</v>
      </c>
      <c r="B82" s="22" t="s">
        <v>17</v>
      </c>
      <c r="C82" s="27" t="s">
        <v>125</v>
      </c>
      <c r="D82" s="27"/>
      <c r="E82" s="27" t="s">
        <v>221</v>
      </c>
      <c r="F82" s="27" t="s">
        <v>15</v>
      </c>
      <c r="G82" s="28" t="s">
        <v>270</v>
      </c>
      <c r="H82" s="29">
        <f t="shared" si="0"/>
        <v>0.10833333333333334</v>
      </c>
      <c r="I82" s="30">
        <v>0.35</v>
      </c>
      <c r="J82" s="30">
        <v>0.45833333333333331</v>
      </c>
    </row>
    <row r="83" spans="1:10" x14ac:dyDescent="0.2">
      <c r="A83" s="22">
        <v>46167</v>
      </c>
      <c r="B83" s="22" t="s">
        <v>17</v>
      </c>
      <c r="C83" s="27" t="s">
        <v>125</v>
      </c>
      <c r="D83" s="27"/>
      <c r="E83" s="27" t="s">
        <v>62</v>
      </c>
      <c r="F83" s="27" t="s">
        <v>15</v>
      </c>
      <c r="G83" s="28" t="s">
        <v>223</v>
      </c>
      <c r="H83" s="29">
        <f t="shared" si="0"/>
        <v>2.8472222222222232E-2</v>
      </c>
      <c r="I83" s="30">
        <v>0.45833333333333331</v>
      </c>
      <c r="J83" s="30">
        <v>0.48680555555555555</v>
      </c>
    </row>
    <row r="84" spans="1:10" x14ac:dyDescent="0.2">
      <c r="A84" s="22">
        <v>46167</v>
      </c>
      <c r="B84" s="22" t="s">
        <v>17</v>
      </c>
      <c r="C84" s="27" t="s">
        <v>125</v>
      </c>
      <c r="D84" s="27"/>
      <c r="E84" s="27" t="s">
        <v>221</v>
      </c>
      <c r="F84" s="27" t="s">
        <v>15</v>
      </c>
      <c r="G84" s="28" t="s">
        <v>271</v>
      </c>
      <c r="H84" s="29">
        <f t="shared" si="0"/>
        <v>4.4444444444444453E-2</v>
      </c>
      <c r="I84" s="30">
        <v>0.48680555555555555</v>
      </c>
      <c r="J84" s="30">
        <v>0.53125</v>
      </c>
    </row>
    <row r="85" spans="1:10" x14ac:dyDescent="0.2">
      <c r="A85" s="22">
        <v>46167</v>
      </c>
      <c r="B85" s="22" t="s">
        <v>17</v>
      </c>
      <c r="C85" s="27" t="s">
        <v>125</v>
      </c>
      <c r="D85" s="27"/>
      <c r="E85" s="27" t="s">
        <v>221</v>
      </c>
      <c r="F85" s="27" t="s">
        <v>15</v>
      </c>
      <c r="G85" s="28" t="s">
        <v>271</v>
      </c>
      <c r="H85" s="29">
        <f t="shared" si="0"/>
        <v>3.125E-2</v>
      </c>
      <c r="I85" s="30">
        <v>0.57291666666666663</v>
      </c>
      <c r="J85" s="30">
        <v>0.60416666666666663</v>
      </c>
    </row>
    <row r="86" spans="1:10" x14ac:dyDescent="0.2">
      <c r="A86" s="22">
        <v>46167</v>
      </c>
      <c r="B86" s="22" t="s">
        <v>17</v>
      </c>
      <c r="C86" s="27" t="s">
        <v>125</v>
      </c>
      <c r="D86" s="27"/>
      <c r="E86" s="27" t="s">
        <v>62</v>
      </c>
      <c r="F86" s="27" t="s">
        <v>15</v>
      </c>
      <c r="G86" s="23" t="s">
        <v>268</v>
      </c>
      <c r="H86" s="29">
        <f t="shared" si="0"/>
        <v>6.25E-2</v>
      </c>
      <c r="I86" s="30">
        <v>0.60416666666666663</v>
      </c>
      <c r="J86" s="30">
        <v>0.66666666666666663</v>
      </c>
    </row>
    <row r="87" spans="1:10" ht="25.5" x14ac:dyDescent="0.2">
      <c r="A87" s="22">
        <v>46167</v>
      </c>
      <c r="B87" s="22" t="s">
        <v>17</v>
      </c>
      <c r="C87" s="27" t="s">
        <v>125</v>
      </c>
      <c r="D87" s="27"/>
      <c r="E87" s="27" t="s">
        <v>62</v>
      </c>
      <c r="F87" s="27" t="s">
        <v>15</v>
      </c>
      <c r="G87" s="28" t="s">
        <v>224</v>
      </c>
      <c r="H87" s="29">
        <f t="shared" si="0"/>
        <v>4.1666666666666741E-2</v>
      </c>
      <c r="I87" s="30">
        <v>0.66666666666666663</v>
      </c>
      <c r="J87" s="30">
        <v>0.70833333333333337</v>
      </c>
    </row>
    <row r="88" spans="1:10" x14ac:dyDescent="0.2">
      <c r="A88" s="22">
        <v>46168</v>
      </c>
      <c r="B88" s="22" t="s">
        <v>18</v>
      </c>
      <c r="C88" s="27" t="s">
        <v>125</v>
      </c>
      <c r="D88" s="27"/>
      <c r="E88" s="27" t="s">
        <v>62</v>
      </c>
      <c r="F88" s="27" t="s">
        <v>15</v>
      </c>
      <c r="G88" s="28" t="s">
        <v>222</v>
      </c>
      <c r="H88" s="29">
        <f t="shared" si="0"/>
        <v>8.3333333333333592E-3</v>
      </c>
      <c r="I88" s="30">
        <v>0.33333333333333331</v>
      </c>
      <c r="J88" s="30">
        <v>0.34166666666666667</v>
      </c>
    </row>
    <row r="89" spans="1:10" x14ac:dyDescent="0.2">
      <c r="A89" s="22">
        <v>46168</v>
      </c>
      <c r="B89" s="22" t="s">
        <v>18</v>
      </c>
      <c r="C89" s="27" t="s">
        <v>125</v>
      </c>
      <c r="D89" s="27"/>
      <c r="E89" s="27" t="s">
        <v>221</v>
      </c>
      <c r="F89" s="27" t="s">
        <v>15</v>
      </c>
      <c r="G89" s="28" t="s">
        <v>271</v>
      </c>
      <c r="H89" s="29">
        <f t="shared" si="0"/>
        <v>0.11666666666666664</v>
      </c>
      <c r="I89" s="30">
        <v>0.34166666666666667</v>
      </c>
      <c r="J89" s="30">
        <v>0.45833333333333331</v>
      </c>
    </row>
    <row r="90" spans="1:10" x14ac:dyDescent="0.2">
      <c r="A90" s="22">
        <v>46168</v>
      </c>
      <c r="B90" s="22" t="s">
        <v>18</v>
      </c>
      <c r="C90" s="27" t="s">
        <v>125</v>
      </c>
      <c r="D90" s="27"/>
      <c r="E90" s="27" t="s">
        <v>62</v>
      </c>
      <c r="F90" s="27" t="s">
        <v>15</v>
      </c>
      <c r="G90" s="28" t="s">
        <v>223</v>
      </c>
      <c r="H90" s="29">
        <f t="shared" si="0"/>
        <v>4.0972222222222243E-2</v>
      </c>
      <c r="I90" s="30">
        <v>0.45833333333333331</v>
      </c>
      <c r="J90" s="30">
        <v>0.49930555555555556</v>
      </c>
    </row>
    <row r="91" spans="1:10" x14ac:dyDescent="0.2">
      <c r="A91" s="22">
        <v>46168</v>
      </c>
      <c r="B91" s="22" t="s">
        <v>18</v>
      </c>
      <c r="C91" s="27" t="s">
        <v>125</v>
      </c>
      <c r="D91" s="27"/>
      <c r="E91" s="27" t="s">
        <v>221</v>
      </c>
      <c r="F91" s="27" t="s">
        <v>15</v>
      </c>
      <c r="G91" s="28" t="s">
        <v>271</v>
      </c>
      <c r="H91" s="29">
        <f t="shared" si="0"/>
        <v>4.2361111111111072E-2</v>
      </c>
      <c r="I91" s="30">
        <v>0.49930555555555556</v>
      </c>
      <c r="J91" s="30">
        <v>0.54166666666666663</v>
      </c>
    </row>
    <row r="92" spans="1:10" x14ac:dyDescent="0.2">
      <c r="A92" s="22">
        <v>46168</v>
      </c>
      <c r="B92" s="22" t="s">
        <v>18</v>
      </c>
      <c r="C92" s="27" t="s">
        <v>125</v>
      </c>
      <c r="D92" s="27"/>
      <c r="E92" s="27" t="s">
        <v>91</v>
      </c>
      <c r="F92" s="27" t="s">
        <v>15</v>
      </c>
      <c r="G92" s="28"/>
      <c r="H92" s="29">
        <f t="shared" si="0"/>
        <v>0</v>
      </c>
      <c r="I92" s="30"/>
      <c r="J92" s="30"/>
    </row>
    <row r="93" spans="1:10" x14ac:dyDescent="0.2">
      <c r="A93" s="22">
        <v>46169</v>
      </c>
      <c r="B93" s="22" t="s">
        <v>19</v>
      </c>
      <c r="C93" s="27" t="s">
        <v>125</v>
      </c>
      <c r="D93" s="27"/>
      <c r="E93" s="27" t="s">
        <v>62</v>
      </c>
      <c r="F93" s="27" t="s">
        <v>15</v>
      </c>
      <c r="G93" s="28" t="s">
        <v>222</v>
      </c>
      <c r="H93" s="29">
        <f t="shared" si="0"/>
        <v>6.9444444444444753E-3</v>
      </c>
      <c r="I93" s="30">
        <v>0.33333333333333331</v>
      </c>
      <c r="J93" s="30">
        <v>0.34027777777777779</v>
      </c>
    </row>
    <row r="94" spans="1:10" x14ac:dyDescent="0.2">
      <c r="A94" s="22">
        <v>46169</v>
      </c>
      <c r="B94" s="22" t="s">
        <v>19</v>
      </c>
      <c r="C94" s="27" t="s">
        <v>125</v>
      </c>
      <c r="D94" s="27"/>
      <c r="E94" s="27" t="s">
        <v>221</v>
      </c>
      <c r="F94" s="27" t="s">
        <v>15</v>
      </c>
      <c r="G94" s="28" t="s">
        <v>271</v>
      </c>
      <c r="H94" s="29">
        <f t="shared" si="0"/>
        <v>0.11805555555555552</v>
      </c>
      <c r="I94" s="30">
        <v>0.34027777777777779</v>
      </c>
      <c r="J94" s="30">
        <v>0.45833333333333331</v>
      </c>
    </row>
    <row r="95" spans="1:10" x14ac:dyDescent="0.2">
      <c r="A95" s="22">
        <v>46169</v>
      </c>
      <c r="B95" s="22" t="s">
        <v>19</v>
      </c>
      <c r="C95" s="27" t="s">
        <v>125</v>
      </c>
      <c r="D95" s="27"/>
      <c r="E95" s="27" t="s">
        <v>62</v>
      </c>
      <c r="F95" s="27" t="s">
        <v>15</v>
      </c>
      <c r="G95" s="28" t="s">
        <v>223</v>
      </c>
      <c r="H95" s="29">
        <f t="shared" si="0"/>
        <v>1.5972222222222221E-2</v>
      </c>
      <c r="I95" s="30">
        <v>0.45833333333333331</v>
      </c>
      <c r="J95" s="30">
        <v>0.47430555555555554</v>
      </c>
    </row>
    <row r="96" spans="1:10" x14ac:dyDescent="0.2">
      <c r="A96" s="22">
        <v>46169</v>
      </c>
      <c r="B96" s="22" t="s">
        <v>19</v>
      </c>
      <c r="C96" s="27" t="s">
        <v>125</v>
      </c>
      <c r="D96" s="27"/>
      <c r="E96" s="27" t="s">
        <v>221</v>
      </c>
      <c r="F96" s="27" t="s">
        <v>15</v>
      </c>
      <c r="G96" s="28" t="s">
        <v>271</v>
      </c>
      <c r="H96" s="29">
        <f t="shared" si="0"/>
        <v>4.6527777777777835E-2</v>
      </c>
      <c r="I96" s="30">
        <v>0.47430555555555554</v>
      </c>
      <c r="J96" s="30">
        <v>0.52083333333333337</v>
      </c>
    </row>
    <row r="97" spans="1:10" x14ac:dyDescent="0.2">
      <c r="A97" s="22">
        <v>46169</v>
      </c>
      <c r="B97" s="22" t="s">
        <v>19</v>
      </c>
      <c r="C97" s="27" t="s">
        <v>125</v>
      </c>
      <c r="D97" s="27"/>
      <c r="E97" s="27" t="s">
        <v>221</v>
      </c>
      <c r="F97" s="27" t="s">
        <v>15</v>
      </c>
      <c r="G97" s="28" t="s">
        <v>271</v>
      </c>
      <c r="H97" s="29">
        <f t="shared" si="0"/>
        <v>2.083333333333337E-2</v>
      </c>
      <c r="I97" s="30">
        <v>0.5625</v>
      </c>
      <c r="J97" s="30">
        <v>0.58333333333333337</v>
      </c>
    </row>
    <row r="98" spans="1:10" x14ac:dyDescent="0.2">
      <c r="A98" s="22">
        <v>46169</v>
      </c>
      <c r="B98" s="22" t="s">
        <v>19</v>
      </c>
      <c r="C98" s="27" t="s">
        <v>125</v>
      </c>
      <c r="D98" s="27"/>
      <c r="E98" s="27" t="s">
        <v>62</v>
      </c>
      <c r="F98" s="27" t="s">
        <v>15</v>
      </c>
      <c r="G98" s="23" t="s">
        <v>268</v>
      </c>
      <c r="H98" s="29">
        <f t="shared" si="0"/>
        <v>8.3333333333333259E-2</v>
      </c>
      <c r="I98" s="30">
        <v>0.58333333333333337</v>
      </c>
      <c r="J98" s="30">
        <v>0.66666666666666663</v>
      </c>
    </row>
    <row r="99" spans="1:10" ht="25.5" x14ac:dyDescent="0.2">
      <c r="A99" s="22">
        <v>46169</v>
      </c>
      <c r="B99" s="22" t="s">
        <v>19</v>
      </c>
      <c r="C99" s="27" t="s">
        <v>125</v>
      </c>
      <c r="D99" s="27"/>
      <c r="E99" s="27" t="s">
        <v>62</v>
      </c>
      <c r="F99" s="27" t="s">
        <v>15</v>
      </c>
      <c r="G99" s="28" t="s">
        <v>272</v>
      </c>
      <c r="H99" s="29">
        <f t="shared" si="0"/>
        <v>8.333333333333337E-2</v>
      </c>
      <c r="I99" s="30">
        <v>0.66666666666666663</v>
      </c>
      <c r="J99" s="30">
        <v>0.75</v>
      </c>
    </row>
    <row r="100" spans="1:10" x14ac:dyDescent="0.2">
      <c r="A100" s="22">
        <v>46170</v>
      </c>
      <c r="B100" s="22" t="s">
        <v>20</v>
      </c>
      <c r="C100" s="27" t="s">
        <v>125</v>
      </c>
      <c r="D100" s="27"/>
      <c r="E100" s="27" t="s">
        <v>62</v>
      </c>
      <c r="F100" s="27" t="s">
        <v>15</v>
      </c>
      <c r="G100" s="28" t="s">
        <v>222</v>
      </c>
      <c r="H100" s="29">
        <f t="shared" si="0"/>
        <v>2.2916666666666696E-2</v>
      </c>
      <c r="I100" s="30">
        <v>0.33333333333333331</v>
      </c>
      <c r="J100" s="30">
        <v>0.35625000000000001</v>
      </c>
    </row>
    <row r="101" spans="1:10" x14ac:dyDescent="0.2">
      <c r="A101" s="22">
        <v>46170</v>
      </c>
      <c r="B101" s="22" t="s">
        <v>20</v>
      </c>
      <c r="C101" s="27" t="s">
        <v>125</v>
      </c>
      <c r="D101" s="27"/>
      <c r="E101" s="27" t="s">
        <v>221</v>
      </c>
      <c r="F101" s="27" t="s">
        <v>15</v>
      </c>
      <c r="G101" s="28" t="s">
        <v>271</v>
      </c>
      <c r="H101" s="29">
        <f t="shared" si="0"/>
        <v>1.8749999999999989E-2</v>
      </c>
      <c r="I101" s="30">
        <v>0.35625000000000001</v>
      </c>
      <c r="J101" s="30">
        <v>0.375</v>
      </c>
    </row>
    <row r="102" spans="1:10" x14ac:dyDescent="0.2">
      <c r="A102" s="22"/>
      <c r="B102" s="22"/>
      <c r="C102" s="27"/>
      <c r="D102" s="27"/>
      <c r="E102" s="27" t="s">
        <v>62</v>
      </c>
      <c r="F102" s="27" t="s">
        <v>15</v>
      </c>
      <c r="G102" s="23" t="s">
        <v>268</v>
      </c>
      <c r="H102" s="29">
        <f t="shared" si="0"/>
        <v>6.25E-2</v>
      </c>
      <c r="I102" s="30">
        <v>0.375</v>
      </c>
      <c r="J102" s="30">
        <v>0.4375</v>
      </c>
    </row>
    <row r="103" spans="1:10" x14ac:dyDescent="0.2">
      <c r="A103" s="22"/>
      <c r="B103" s="22"/>
      <c r="C103" s="27"/>
      <c r="D103" s="27"/>
      <c r="E103" s="27" t="s">
        <v>221</v>
      </c>
      <c r="F103" s="27" t="s">
        <v>15</v>
      </c>
      <c r="G103" s="28" t="s">
        <v>271</v>
      </c>
      <c r="H103" s="29"/>
      <c r="I103" s="30">
        <v>0.4375</v>
      </c>
      <c r="J103" s="30">
        <v>0.45833333333333331</v>
      </c>
    </row>
    <row r="104" spans="1:10" x14ac:dyDescent="0.2">
      <c r="A104" s="22">
        <v>46170</v>
      </c>
      <c r="B104" s="22" t="s">
        <v>20</v>
      </c>
      <c r="C104" s="27" t="s">
        <v>125</v>
      </c>
      <c r="D104" s="27"/>
      <c r="E104" s="27" t="s">
        <v>62</v>
      </c>
      <c r="F104" s="27" t="s">
        <v>15</v>
      </c>
      <c r="G104" s="28" t="s">
        <v>223</v>
      </c>
      <c r="H104" s="29">
        <f t="shared" si="0"/>
        <v>1.9444444444444486E-2</v>
      </c>
      <c r="I104" s="30">
        <v>0.45833333333333331</v>
      </c>
      <c r="J104" s="30">
        <v>0.4777777777777778</v>
      </c>
    </row>
    <row r="105" spans="1:10" x14ac:dyDescent="0.2">
      <c r="A105" s="22">
        <v>46170</v>
      </c>
      <c r="B105" s="22" t="s">
        <v>20</v>
      </c>
      <c r="C105" s="27" t="s">
        <v>125</v>
      </c>
      <c r="D105" s="27"/>
      <c r="E105" s="27" t="s">
        <v>221</v>
      </c>
      <c r="F105" s="27" t="s">
        <v>15</v>
      </c>
      <c r="G105" s="28" t="s">
        <v>271</v>
      </c>
      <c r="H105" s="29">
        <f t="shared" si="0"/>
        <v>4.3055555555555569E-2</v>
      </c>
      <c r="I105" s="30">
        <v>0.4777777777777778</v>
      </c>
      <c r="J105" s="30">
        <v>0.52083333333333337</v>
      </c>
    </row>
    <row r="106" spans="1:10" x14ac:dyDescent="0.2">
      <c r="A106" s="22">
        <v>46170</v>
      </c>
      <c r="B106" s="22" t="s">
        <v>20</v>
      </c>
      <c r="C106" s="27" t="s">
        <v>125</v>
      </c>
      <c r="D106" s="27"/>
      <c r="E106" s="27" t="s">
        <v>221</v>
      </c>
      <c r="F106" s="27" t="s">
        <v>15</v>
      </c>
      <c r="G106" s="28" t="s">
        <v>271</v>
      </c>
      <c r="H106" s="29">
        <f t="shared" si="0"/>
        <v>6.25E-2</v>
      </c>
      <c r="I106" s="30">
        <v>0.5625</v>
      </c>
      <c r="J106" s="30">
        <v>0.625</v>
      </c>
    </row>
    <row r="107" spans="1:10" x14ac:dyDescent="0.2">
      <c r="A107" s="22">
        <v>46170</v>
      </c>
      <c r="B107" s="22" t="s">
        <v>20</v>
      </c>
      <c r="C107" s="27" t="s">
        <v>125</v>
      </c>
      <c r="D107" s="27"/>
      <c r="E107" s="27" t="s">
        <v>62</v>
      </c>
      <c r="F107" s="27" t="s">
        <v>15</v>
      </c>
      <c r="G107" s="23" t="s">
        <v>268</v>
      </c>
      <c r="H107" s="29">
        <f t="shared" si="0"/>
        <v>4.166666666666663E-2</v>
      </c>
      <c r="I107" s="30">
        <v>0.625</v>
      </c>
      <c r="J107" s="30">
        <v>0.66666666666666663</v>
      </c>
    </row>
    <row r="108" spans="1:10" ht="25.5" x14ac:dyDescent="0.2">
      <c r="A108" s="22">
        <v>46170</v>
      </c>
      <c r="B108" s="22" t="s">
        <v>20</v>
      </c>
      <c r="C108" s="27" t="s">
        <v>125</v>
      </c>
      <c r="D108" s="27"/>
      <c r="E108" s="27" t="s">
        <v>62</v>
      </c>
      <c r="F108" s="27" t="s">
        <v>15</v>
      </c>
      <c r="G108" s="28" t="s">
        <v>224</v>
      </c>
      <c r="H108" s="29">
        <f t="shared" si="0"/>
        <v>4.1666666666666741E-2</v>
      </c>
      <c r="I108" s="30">
        <v>0.66666666666666663</v>
      </c>
      <c r="J108" s="30">
        <v>0.70833333333333337</v>
      </c>
    </row>
    <row r="109" spans="1:10" ht="25.5" x14ac:dyDescent="0.2">
      <c r="A109" s="22">
        <v>46170</v>
      </c>
      <c r="B109" s="22" t="s">
        <v>20</v>
      </c>
      <c r="C109" s="27" t="s">
        <v>125</v>
      </c>
      <c r="D109" s="27"/>
      <c r="E109" s="27" t="s">
        <v>62</v>
      </c>
      <c r="F109" s="27" t="s">
        <v>15</v>
      </c>
      <c r="G109" s="28" t="s">
        <v>273</v>
      </c>
      <c r="H109" s="29">
        <f t="shared" si="0"/>
        <v>1.8749999999999933E-2</v>
      </c>
      <c r="I109" s="30">
        <v>0.70833333333333337</v>
      </c>
      <c r="J109" s="30">
        <v>0.7270833333333333</v>
      </c>
    </row>
    <row r="110" spans="1:10" x14ac:dyDescent="0.2">
      <c r="A110" s="22">
        <v>46171</v>
      </c>
      <c r="B110" s="22" t="s">
        <v>11</v>
      </c>
      <c r="C110" s="27" t="s">
        <v>125</v>
      </c>
      <c r="D110" s="27"/>
      <c r="E110" s="27" t="s">
        <v>62</v>
      </c>
      <c r="F110" s="27" t="s">
        <v>15</v>
      </c>
      <c r="G110" s="28" t="s">
        <v>222</v>
      </c>
      <c r="H110" s="29">
        <f t="shared" si="0"/>
        <v>2.7777777777778234E-3</v>
      </c>
      <c r="I110" s="30">
        <v>0.33333333333333331</v>
      </c>
      <c r="J110" s="30">
        <v>0.33611111111111114</v>
      </c>
    </row>
    <row r="111" spans="1:10" x14ac:dyDescent="0.2">
      <c r="A111" s="22">
        <v>46171</v>
      </c>
      <c r="B111" s="22" t="s">
        <v>11</v>
      </c>
      <c r="C111" s="27" t="s">
        <v>125</v>
      </c>
      <c r="D111" s="27"/>
      <c r="E111" s="27" t="s">
        <v>221</v>
      </c>
      <c r="F111" s="27" t="s">
        <v>15</v>
      </c>
      <c r="G111" s="28" t="s">
        <v>271</v>
      </c>
      <c r="H111" s="29">
        <f t="shared" si="0"/>
        <v>0.12222222222222218</v>
      </c>
      <c r="I111" s="30">
        <v>0.33611111111111114</v>
      </c>
      <c r="J111" s="30">
        <v>0.45833333333333331</v>
      </c>
    </row>
    <row r="112" spans="1:10" x14ac:dyDescent="0.2">
      <c r="A112" s="22">
        <v>46171</v>
      </c>
      <c r="B112" s="22" t="s">
        <v>11</v>
      </c>
      <c r="C112" s="27" t="s">
        <v>125</v>
      </c>
      <c r="D112" s="27"/>
      <c r="E112" s="27" t="s">
        <v>62</v>
      </c>
      <c r="F112" s="27" t="s">
        <v>15</v>
      </c>
      <c r="G112" s="28" t="s">
        <v>223</v>
      </c>
      <c r="H112" s="29">
        <f t="shared" si="0"/>
        <v>2.083333333333337E-2</v>
      </c>
      <c r="I112" s="30">
        <v>0.45833333333333331</v>
      </c>
      <c r="J112" s="30">
        <v>0.47916666666666669</v>
      </c>
    </row>
    <row r="113" spans="1:10" x14ac:dyDescent="0.2">
      <c r="A113" s="22">
        <v>46171</v>
      </c>
      <c r="B113" s="22" t="s">
        <v>11</v>
      </c>
      <c r="C113" s="27" t="s">
        <v>125</v>
      </c>
      <c r="D113" s="27"/>
      <c r="E113" s="27" t="s">
        <v>221</v>
      </c>
      <c r="F113" s="27" t="s">
        <v>15</v>
      </c>
      <c r="G113" s="28" t="s">
        <v>271</v>
      </c>
      <c r="H113" s="29">
        <f t="shared" si="0"/>
        <v>4.1666666666666685E-2</v>
      </c>
      <c r="I113" s="30">
        <v>0.47916666666666669</v>
      </c>
      <c r="J113" s="30">
        <v>0.52083333333333337</v>
      </c>
    </row>
    <row r="114" spans="1:10" x14ac:dyDescent="0.2">
      <c r="A114" s="22">
        <v>46171</v>
      </c>
      <c r="B114" s="22" t="s">
        <v>11</v>
      </c>
      <c r="C114" s="27" t="s">
        <v>125</v>
      </c>
      <c r="D114" s="27"/>
      <c r="E114" s="27" t="s">
        <v>221</v>
      </c>
      <c r="F114" s="27" t="s">
        <v>15</v>
      </c>
      <c r="G114" s="28" t="s">
        <v>271</v>
      </c>
      <c r="H114" s="29">
        <f t="shared" si="0"/>
        <v>0.10416666666666663</v>
      </c>
      <c r="I114" s="30">
        <v>0.5625</v>
      </c>
      <c r="J114" s="30">
        <v>0.66666666666666663</v>
      </c>
    </row>
    <row r="115" spans="1:10" x14ac:dyDescent="0.2">
      <c r="A115" s="22">
        <v>46171</v>
      </c>
      <c r="B115" s="22" t="s">
        <v>11</v>
      </c>
      <c r="C115" s="27" t="s">
        <v>125</v>
      </c>
      <c r="D115" s="27"/>
      <c r="E115" s="27" t="s">
        <v>62</v>
      </c>
      <c r="F115" s="27" t="s">
        <v>15</v>
      </c>
      <c r="G115" s="23" t="s">
        <v>224</v>
      </c>
      <c r="H115" s="29">
        <f t="shared" si="0"/>
        <v>6.25E-2</v>
      </c>
      <c r="I115" s="30">
        <v>0.66666666666666663</v>
      </c>
      <c r="J115" s="30">
        <v>0.72916666666666663</v>
      </c>
    </row>
    <row r="116" spans="1:10" x14ac:dyDescent="0.2">
      <c r="A116" s="31">
        <v>46172</v>
      </c>
      <c r="B116" s="31" t="s">
        <v>14</v>
      </c>
      <c r="C116" s="32"/>
      <c r="D116" s="32"/>
      <c r="E116" s="32"/>
      <c r="F116" s="32"/>
      <c r="G116" s="33"/>
      <c r="H116" s="34">
        <f t="shared" si="0"/>
        <v>0</v>
      </c>
      <c r="I116" s="35"/>
      <c r="J116" s="35"/>
    </row>
    <row r="117" spans="1:10" ht="14.1" customHeight="1" x14ac:dyDescent="0.2">
      <c r="A117" s="31">
        <v>46173</v>
      </c>
      <c r="B117" s="31" t="s">
        <v>16</v>
      </c>
      <c r="C117" s="32"/>
      <c r="D117" s="97"/>
      <c r="E117" s="97"/>
      <c r="F117" s="32"/>
      <c r="G117" s="97"/>
      <c r="H117" s="34">
        <f t="shared" si="0"/>
        <v>0</v>
      </c>
      <c r="I117" s="98"/>
      <c r="J117" s="32"/>
    </row>
    <row r="118" spans="1:10" ht="14.1" customHeight="1" thickBot="1" x14ac:dyDescent="0.25">
      <c r="A118" s="46"/>
      <c r="B118" s="45"/>
      <c r="C118" s="45"/>
      <c r="D118" s="45"/>
      <c r="E118" s="45"/>
      <c r="F118" s="45"/>
      <c r="G118" s="45"/>
      <c r="H118" s="36"/>
      <c r="I118" s="37"/>
    </row>
    <row r="119" spans="1:10" ht="14.1" customHeight="1" x14ac:dyDescent="0.2">
      <c r="A119" s="4"/>
      <c r="B119" s="4"/>
      <c r="C119" s="5"/>
      <c r="D119" s="6"/>
      <c r="E119" s="7" t="s">
        <v>21</v>
      </c>
      <c r="F119" s="8">
        <v>160</v>
      </c>
      <c r="H119" s="40"/>
    </row>
    <row r="120" spans="1:10" ht="14.1" customHeight="1" thickBot="1" x14ac:dyDescent="0.25">
      <c r="A120" s="4"/>
      <c r="B120" s="4"/>
      <c r="C120" s="9"/>
      <c r="D120" s="2"/>
      <c r="E120" s="10" t="s">
        <v>22</v>
      </c>
      <c r="F120" s="11">
        <v>20</v>
      </c>
      <c r="H120" s="40"/>
    </row>
    <row r="121" spans="1:10" ht="14.1" customHeight="1" thickBot="1" x14ac:dyDescent="0.25">
      <c r="A121" s="128" t="s">
        <v>23</v>
      </c>
      <c r="B121" s="128"/>
      <c r="C121" s="128"/>
      <c r="D121" s="12"/>
      <c r="E121" s="2"/>
      <c r="F121" s="2"/>
      <c r="H121" s="40"/>
    </row>
    <row r="122" spans="1:10" ht="14.25" x14ac:dyDescent="0.2">
      <c r="A122" s="13"/>
      <c r="B122" s="13"/>
      <c r="C122" s="6"/>
      <c r="D122" s="6"/>
      <c r="E122" s="14" t="s">
        <v>24</v>
      </c>
      <c r="F122" s="15">
        <f>SUMIF(F9:F117,"Billable",H9:H117)</f>
        <v>0</v>
      </c>
      <c r="H122" s="38"/>
    </row>
    <row r="123" spans="1:10" ht="15" customHeight="1" thickBot="1" x14ac:dyDescent="0.25">
      <c r="A123" s="129" t="s">
        <v>25</v>
      </c>
      <c r="B123" s="129"/>
      <c r="C123" s="129"/>
      <c r="D123" s="16"/>
      <c r="E123" s="17" t="s">
        <v>26</v>
      </c>
      <c r="F123" s="18">
        <f>SUMIF(F9:F117,"Non-Billable",H9:H117)</f>
        <v>6.3951388888888863</v>
      </c>
      <c r="H123" s="40"/>
    </row>
    <row r="124" spans="1:10" ht="15" thickBot="1" x14ac:dyDescent="0.25">
      <c r="A124" s="2"/>
      <c r="B124" s="2"/>
      <c r="C124" s="2"/>
      <c r="D124" s="2"/>
      <c r="E124" s="19" t="s">
        <v>27</v>
      </c>
      <c r="F124" s="44">
        <f>F122+F123</f>
        <v>6.3951388888888863</v>
      </c>
      <c r="H124" s="40"/>
    </row>
    <row r="125" spans="1:10" ht="13.5" thickBot="1" x14ac:dyDescent="0.25">
      <c r="A125" s="2"/>
      <c r="B125" s="2"/>
      <c r="C125" s="2"/>
      <c r="D125" s="2"/>
      <c r="E125" s="2"/>
      <c r="F125" s="2"/>
      <c r="H125" s="40"/>
    </row>
    <row r="126" spans="1:10" ht="13.5" thickBot="1" x14ac:dyDescent="0.25">
      <c r="A126" s="2"/>
      <c r="B126" s="2"/>
      <c r="C126" s="2"/>
      <c r="D126" s="2"/>
      <c r="E126" s="20" t="s">
        <v>28</v>
      </c>
      <c r="F126" s="21"/>
      <c r="H126" s="40"/>
    </row>
    <row r="127" spans="1:10" ht="13.5" thickBot="1" x14ac:dyDescent="0.25">
      <c r="E127" s="39"/>
      <c r="H127" s="40"/>
    </row>
  </sheetData>
  <mergeCells count="2">
    <mergeCell ref="A121:C121"/>
    <mergeCell ref="A123:C123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127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117:E119 D121:E123 E126">
    <cfRule type="containsText" dxfId="70" priority="1" operator="containsText" text="Religious Leave">
      <formula>NOT(ISERROR(SEARCH("Religious Leave",D117)))</formula>
    </cfRule>
    <cfRule type="containsText" dxfId="69" priority="2" operator="containsText" text="Birthday Leave">
      <formula>NOT(ISERROR(SEARCH("Birthday Leave",D117)))</formula>
    </cfRule>
    <cfRule type="containsText" dxfId="68" priority="3" operator="containsText" text="Study Leave">
      <formula>NOT(ISERROR(SEARCH("Study Leave",D117)))</formula>
    </cfRule>
    <cfRule type="containsText" dxfId="67" priority="4" operator="containsText" text="Family Responsibility Leave">
      <formula>NOT(ISERROR(SEARCH("Family Responsibility Leave",D117)))</formula>
    </cfRule>
    <cfRule type="containsText" dxfId="66" priority="5" operator="containsText" text="Sick Leave">
      <formula>NOT(ISERROR(SEARCH("Sick Leave",D117)))</formula>
    </cfRule>
    <cfRule type="containsText" dxfId="65" priority="6" operator="containsText" text="Annual Leave">
      <formula>NOT(ISERROR(SEARCH("Annual Leave",D117)))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16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Key!$J$3:$J$4</xm:f>
          </x14:formula1>
          <xm:sqref>F9:F117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E9:E116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C9:C117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157"/>
  <sheetViews>
    <sheetView tabSelected="1" zoomScaleNormal="100" workbookViewId="0">
      <selection activeCell="C5" sqref="C5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212</v>
      </c>
      <c r="C5" s="37"/>
      <c r="H5" s="40"/>
    </row>
    <row r="6" spans="1:10" x14ac:dyDescent="0.2">
      <c r="A6" s="37" t="s">
        <v>93</v>
      </c>
      <c r="B6" s="72">
        <f>F152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46174</v>
      </c>
      <c r="B9" s="22" t="s">
        <v>17</v>
      </c>
      <c r="C9" s="27" t="s">
        <v>125</v>
      </c>
      <c r="D9" s="27"/>
      <c r="E9" s="27" t="s">
        <v>62</v>
      </c>
      <c r="F9" s="27" t="s">
        <v>15</v>
      </c>
      <c r="G9" s="28" t="s">
        <v>222</v>
      </c>
      <c r="H9" s="29">
        <f>J9-I9</f>
        <v>3.4722222222222654E-3</v>
      </c>
      <c r="I9" s="30">
        <v>0.33333333333333331</v>
      </c>
      <c r="J9" s="30">
        <v>0.33680555555555558</v>
      </c>
    </row>
    <row r="10" spans="1:10" x14ac:dyDescent="0.2">
      <c r="A10" s="22">
        <v>46174</v>
      </c>
      <c r="B10" s="22" t="s">
        <v>17</v>
      </c>
      <c r="C10" s="27" t="s">
        <v>125</v>
      </c>
      <c r="D10" s="27"/>
      <c r="E10" s="27" t="s">
        <v>221</v>
      </c>
      <c r="F10" s="27" t="s">
        <v>15</v>
      </c>
      <c r="G10" s="28" t="s">
        <v>271</v>
      </c>
      <c r="H10" s="29">
        <f t="shared" ref="H10:H15" si="0">J10-I10</f>
        <v>0.12152777777777773</v>
      </c>
      <c r="I10" s="30">
        <v>0.33680555555555558</v>
      </c>
      <c r="J10" s="30">
        <v>0.45833333333333331</v>
      </c>
    </row>
    <row r="11" spans="1:10" x14ac:dyDescent="0.2">
      <c r="A11" s="22">
        <v>46174</v>
      </c>
      <c r="B11" s="22" t="s">
        <v>17</v>
      </c>
      <c r="C11" s="27" t="s">
        <v>125</v>
      </c>
      <c r="D11" s="27"/>
      <c r="E11" s="27" t="s">
        <v>62</v>
      </c>
      <c r="F11" s="27" t="s">
        <v>15</v>
      </c>
      <c r="G11" s="28" t="s">
        <v>223</v>
      </c>
      <c r="H11" s="29">
        <f t="shared" si="0"/>
        <v>2.2916666666666696E-2</v>
      </c>
      <c r="I11" s="30">
        <v>0.45833333333333331</v>
      </c>
      <c r="J11" s="30">
        <v>0.48125000000000001</v>
      </c>
    </row>
    <row r="12" spans="1:10" x14ac:dyDescent="0.2">
      <c r="A12" s="22">
        <v>46174</v>
      </c>
      <c r="B12" s="22" t="s">
        <v>17</v>
      </c>
      <c r="C12" s="27" t="s">
        <v>125</v>
      </c>
      <c r="D12" s="27"/>
      <c r="E12" s="27" t="s">
        <v>221</v>
      </c>
      <c r="F12" s="27" t="s">
        <v>15</v>
      </c>
      <c r="G12" s="28" t="s">
        <v>271</v>
      </c>
      <c r="H12" s="29">
        <f t="shared" si="0"/>
        <v>6.0416666666666619E-2</v>
      </c>
      <c r="I12" s="30">
        <v>0.48125000000000001</v>
      </c>
      <c r="J12" s="30">
        <v>0.54166666666666663</v>
      </c>
    </row>
    <row r="13" spans="1:10" x14ac:dyDescent="0.2">
      <c r="A13" s="22">
        <v>46174</v>
      </c>
      <c r="B13" s="22" t="s">
        <v>17</v>
      </c>
      <c r="C13" s="27" t="s">
        <v>125</v>
      </c>
      <c r="D13" s="27"/>
      <c r="E13" s="27" t="s">
        <v>221</v>
      </c>
      <c r="F13" s="27" t="s">
        <v>15</v>
      </c>
      <c r="G13" s="28" t="s">
        <v>271</v>
      </c>
      <c r="H13" s="29">
        <f t="shared" si="0"/>
        <v>8.3333333333333259E-2</v>
      </c>
      <c r="I13" s="30">
        <v>0.58333333333333337</v>
      </c>
      <c r="J13" s="30">
        <v>0.66666666666666663</v>
      </c>
    </row>
    <row r="14" spans="1:10" x14ac:dyDescent="0.2">
      <c r="A14" s="22">
        <v>46174</v>
      </c>
      <c r="B14" s="22" t="s">
        <v>17</v>
      </c>
      <c r="C14" s="27" t="s">
        <v>125</v>
      </c>
      <c r="D14" s="27"/>
      <c r="E14" s="27" t="s">
        <v>62</v>
      </c>
      <c r="F14" s="27" t="s">
        <v>15</v>
      </c>
      <c r="G14" s="23" t="s">
        <v>224</v>
      </c>
      <c r="H14" s="29">
        <f t="shared" si="0"/>
        <v>1.5277777777777835E-2</v>
      </c>
      <c r="I14" s="30">
        <v>0.66666666666666663</v>
      </c>
      <c r="J14" s="30">
        <v>0.68194444444444446</v>
      </c>
    </row>
    <row r="15" spans="1:10" x14ac:dyDescent="0.2">
      <c r="A15" s="22">
        <v>46174</v>
      </c>
      <c r="B15" s="22" t="s">
        <v>17</v>
      </c>
      <c r="C15" s="27" t="s">
        <v>125</v>
      </c>
      <c r="D15" s="27"/>
      <c r="E15" s="27" t="s">
        <v>221</v>
      </c>
      <c r="F15" s="27" t="s">
        <v>15</v>
      </c>
      <c r="G15" s="28" t="s">
        <v>271</v>
      </c>
      <c r="H15" s="29">
        <f t="shared" si="0"/>
        <v>3.3333333333333326E-2</v>
      </c>
      <c r="I15" s="30">
        <v>0.68194444444444446</v>
      </c>
      <c r="J15" s="30">
        <v>0.71527777777777779</v>
      </c>
    </row>
    <row r="16" spans="1:10" x14ac:dyDescent="0.2">
      <c r="A16" s="22">
        <v>46175</v>
      </c>
      <c r="B16" s="22" t="s">
        <v>18</v>
      </c>
      <c r="C16" s="27" t="s">
        <v>125</v>
      </c>
      <c r="D16" s="27"/>
      <c r="E16" s="27" t="s">
        <v>221</v>
      </c>
      <c r="F16" s="27" t="s">
        <v>15</v>
      </c>
      <c r="G16" s="28" t="s">
        <v>271</v>
      </c>
      <c r="H16" s="29">
        <f t="shared" ref="H16:H133" si="1">J16-I16</f>
        <v>0.125</v>
      </c>
      <c r="I16" s="30">
        <v>0.33333333333333331</v>
      </c>
      <c r="J16" s="30">
        <v>0.45833333333333331</v>
      </c>
    </row>
    <row r="17" spans="1:10" x14ac:dyDescent="0.2">
      <c r="A17" s="22">
        <v>46175</v>
      </c>
      <c r="B17" s="22" t="s">
        <v>18</v>
      </c>
      <c r="C17" s="27" t="s">
        <v>125</v>
      </c>
      <c r="D17" s="27"/>
      <c r="E17" s="27" t="s">
        <v>62</v>
      </c>
      <c r="F17" s="27" t="s">
        <v>15</v>
      </c>
      <c r="G17" s="28" t="s">
        <v>223</v>
      </c>
      <c r="H17" s="29">
        <f t="shared" si="1"/>
        <v>3.8194444444444475E-2</v>
      </c>
      <c r="I17" s="30">
        <v>0.45833333333333331</v>
      </c>
      <c r="J17" s="30">
        <v>0.49652777777777779</v>
      </c>
    </row>
    <row r="18" spans="1:10" x14ac:dyDescent="0.2">
      <c r="A18" s="22">
        <v>46175</v>
      </c>
      <c r="B18" s="22" t="s">
        <v>18</v>
      </c>
      <c r="C18" s="27" t="s">
        <v>125</v>
      </c>
      <c r="D18" s="27"/>
      <c r="E18" s="27" t="s">
        <v>221</v>
      </c>
      <c r="F18" s="27" t="s">
        <v>15</v>
      </c>
      <c r="G18" s="28" t="s">
        <v>271</v>
      </c>
      <c r="H18" s="29">
        <f t="shared" si="1"/>
        <v>3.819444444444442E-2</v>
      </c>
      <c r="I18" s="30">
        <v>0.49652777777777779</v>
      </c>
      <c r="J18" s="30">
        <v>0.53472222222222221</v>
      </c>
    </row>
    <row r="19" spans="1:10" x14ac:dyDescent="0.2">
      <c r="A19" s="22">
        <v>46175</v>
      </c>
      <c r="B19" s="22" t="s">
        <v>18</v>
      </c>
      <c r="C19" s="27" t="s">
        <v>125</v>
      </c>
      <c r="D19" s="27"/>
      <c r="E19" s="27" t="s">
        <v>221</v>
      </c>
      <c r="F19" s="27" t="s">
        <v>15</v>
      </c>
      <c r="G19" s="28" t="s">
        <v>271</v>
      </c>
      <c r="H19" s="29">
        <f t="shared" si="1"/>
        <v>9.027777777777779E-2</v>
      </c>
      <c r="I19" s="30">
        <v>0.57638888888888884</v>
      </c>
      <c r="J19" s="30">
        <v>0.66666666666666663</v>
      </c>
    </row>
    <row r="20" spans="1:10" x14ac:dyDescent="0.2">
      <c r="A20" s="22">
        <v>46175</v>
      </c>
      <c r="B20" s="22" t="s">
        <v>18</v>
      </c>
      <c r="C20" s="27" t="s">
        <v>125</v>
      </c>
      <c r="D20" s="27"/>
      <c r="E20" s="27" t="s">
        <v>62</v>
      </c>
      <c r="F20" s="27" t="s">
        <v>15</v>
      </c>
      <c r="G20" s="23" t="s">
        <v>224</v>
      </c>
      <c r="H20" s="29">
        <f t="shared" si="1"/>
        <v>1.3194444444444509E-2</v>
      </c>
      <c r="I20" s="30">
        <v>0.66666666666666663</v>
      </c>
      <c r="J20" s="30">
        <v>0.67986111111111114</v>
      </c>
    </row>
    <row r="21" spans="1:10" x14ac:dyDescent="0.2">
      <c r="A21" s="22">
        <v>46175</v>
      </c>
      <c r="B21" s="22" t="s">
        <v>18</v>
      </c>
      <c r="C21" s="27" t="s">
        <v>125</v>
      </c>
      <c r="D21" s="27"/>
      <c r="E21" s="27" t="s">
        <v>221</v>
      </c>
      <c r="F21" s="27" t="s">
        <v>15</v>
      </c>
      <c r="G21" s="28" t="s">
        <v>271</v>
      </c>
      <c r="H21" s="29">
        <f t="shared" si="1"/>
        <v>3.1944444444444442E-2</v>
      </c>
      <c r="I21" s="30">
        <v>0.67986111111111114</v>
      </c>
      <c r="J21" s="30">
        <v>0.71180555555555558</v>
      </c>
    </row>
    <row r="22" spans="1:10" x14ac:dyDescent="0.2">
      <c r="A22" s="22">
        <v>46176</v>
      </c>
      <c r="B22" s="22" t="s">
        <v>19</v>
      </c>
      <c r="C22" s="27" t="s">
        <v>125</v>
      </c>
      <c r="D22" s="27"/>
      <c r="E22" s="27" t="s">
        <v>62</v>
      </c>
      <c r="F22" s="27" t="s">
        <v>15</v>
      </c>
      <c r="G22" s="28" t="s">
        <v>222</v>
      </c>
      <c r="H22" s="29">
        <f t="shared" si="1"/>
        <v>8.3333333333333592E-3</v>
      </c>
      <c r="I22" s="30">
        <v>0.33333333333333331</v>
      </c>
      <c r="J22" s="30">
        <v>0.34166666666666667</v>
      </c>
    </row>
    <row r="23" spans="1:10" x14ac:dyDescent="0.2">
      <c r="A23" s="22">
        <v>46176</v>
      </c>
      <c r="B23" s="22" t="s">
        <v>19</v>
      </c>
      <c r="C23" s="27" t="s">
        <v>125</v>
      </c>
      <c r="D23" s="27"/>
      <c r="E23" s="27" t="s">
        <v>221</v>
      </c>
      <c r="F23" s="27" t="s">
        <v>15</v>
      </c>
      <c r="G23" s="28" t="s">
        <v>271</v>
      </c>
      <c r="H23" s="29">
        <f t="shared" si="1"/>
        <v>9.5833333333333326E-2</v>
      </c>
      <c r="I23" s="30">
        <v>0.34166666666666667</v>
      </c>
      <c r="J23" s="30">
        <v>0.4375</v>
      </c>
    </row>
    <row r="24" spans="1:10" x14ac:dyDescent="0.2">
      <c r="A24" s="22">
        <v>46176</v>
      </c>
      <c r="B24" s="22" t="s">
        <v>19</v>
      </c>
      <c r="C24" s="27" t="s">
        <v>125</v>
      </c>
      <c r="D24" s="27"/>
      <c r="E24" s="27" t="s">
        <v>62</v>
      </c>
      <c r="F24" s="27" t="s">
        <v>15</v>
      </c>
      <c r="G24" s="28" t="s">
        <v>276</v>
      </c>
      <c r="H24" s="29">
        <f t="shared" si="1"/>
        <v>4.9999999999999989E-2</v>
      </c>
      <c r="I24" s="30">
        <v>0.4375</v>
      </c>
      <c r="J24" s="30">
        <v>0.48749999999999999</v>
      </c>
    </row>
    <row r="25" spans="1:10" x14ac:dyDescent="0.2">
      <c r="A25" s="22">
        <v>46176</v>
      </c>
      <c r="B25" s="22" t="s">
        <v>19</v>
      </c>
      <c r="C25" s="27" t="s">
        <v>125</v>
      </c>
      <c r="D25" s="27"/>
      <c r="E25" s="27" t="s">
        <v>221</v>
      </c>
      <c r="F25" s="27" t="s">
        <v>15</v>
      </c>
      <c r="G25" s="28" t="s">
        <v>271</v>
      </c>
      <c r="H25" s="29">
        <f t="shared" si="1"/>
        <v>5.4166666666666641E-2</v>
      </c>
      <c r="I25" s="30">
        <v>0.48749999999999999</v>
      </c>
      <c r="J25" s="30">
        <v>0.54166666666666663</v>
      </c>
    </row>
    <row r="26" spans="1:10" x14ac:dyDescent="0.2">
      <c r="A26" s="22">
        <v>46176</v>
      </c>
      <c r="B26" s="22" t="s">
        <v>19</v>
      </c>
      <c r="C26" s="27" t="s">
        <v>125</v>
      </c>
      <c r="D26" s="27"/>
      <c r="E26" s="27" t="s">
        <v>221</v>
      </c>
      <c r="F26" s="27" t="s">
        <v>15</v>
      </c>
      <c r="G26" s="28" t="s">
        <v>271</v>
      </c>
      <c r="H26" s="29">
        <f t="shared" si="1"/>
        <v>8.3333333333333259E-2</v>
      </c>
      <c r="I26" s="30">
        <v>0.58333333333333337</v>
      </c>
      <c r="J26" s="30">
        <v>0.66666666666666663</v>
      </c>
    </row>
    <row r="27" spans="1:10" x14ac:dyDescent="0.2">
      <c r="A27" s="22">
        <v>46176</v>
      </c>
      <c r="B27" s="22" t="s">
        <v>19</v>
      </c>
      <c r="C27" s="27" t="s">
        <v>125</v>
      </c>
      <c r="D27" s="27"/>
      <c r="E27" s="27" t="s">
        <v>62</v>
      </c>
      <c r="F27" s="27" t="s">
        <v>15</v>
      </c>
      <c r="G27" s="23" t="s">
        <v>224</v>
      </c>
      <c r="H27" s="29">
        <f t="shared" si="1"/>
        <v>2.083333333333337E-2</v>
      </c>
      <c r="I27" s="30">
        <v>0.66666666666666663</v>
      </c>
      <c r="J27" s="30">
        <v>0.6875</v>
      </c>
    </row>
    <row r="28" spans="1:10" x14ac:dyDescent="0.2">
      <c r="A28" s="22">
        <v>46176</v>
      </c>
      <c r="B28" s="22" t="s">
        <v>19</v>
      </c>
      <c r="C28" s="27" t="s">
        <v>125</v>
      </c>
      <c r="D28" s="27"/>
      <c r="E28" s="27" t="s">
        <v>62</v>
      </c>
      <c r="F28" s="27" t="s">
        <v>15</v>
      </c>
      <c r="G28" s="23" t="s">
        <v>274</v>
      </c>
      <c r="H28" s="29">
        <f t="shared" si="1"/>
        <v>2.2222222222222254E-2</v>
      </c>
      <c r="I28" s="30">
        <v>0.6875</v>
      </c>
      <c r="J28" s="30">
        <v>0.70972222222222225</v>
      </c>
    </row>
    <row r="29" spans="1:10" x14ac:dyDescent="0.2">
      <c r="A29" s="22">
        <v>46177</v>
      </c>
      <c r="B29" s="22" t="s">
        <v>20</v>
      </c>
      <c r="C29" s="27" t="s">
        <v>125</v>
      </c>
      <c r="D29" s="27"/>
      <c r="E29" s="27" t="s">
        <v>62</v>
      </c>
      <c r="F29" s="27" t="s">
        <v>15</v>
      </c>
      <c r="G29" s="28" t="s">
        <v>222</v>
      </c>
      <c r="H29" s="29">
        <f t="shared" si="1"/>
        <v>2.7777777777778234E-3</v>
      </c>
      <c r="I29" s="30">
        <v>0.33333333333333331</v>
      </c>
      <c r="J29" s="30">
        <v>0.33611111111111114</v>
      </c>
    </row>
    <row r="30" spans="1:10" ht="25.5" x14ac:dyDescent="0.2">
      <c r="A30" s="22">
        <v>46177</v>
      </c>
      <c r="B30" s="22" t="s">
        <v>20</v>
      </c>
      <c r="C30" s="27" t="s">
        <v>125</v>
      </c>
      <c r="D30" s="27"/>
      <c r="E30" s="27" t="s">
        <v>221</v>
      </c>
      <c r="F30" s="27" t="s">
        <v>15</v>
      </c>
      <c r="G30" s="28" t="s">
        <v>277</v>
      </c>
      <c r="H30" s="29">
        <f t="shared" si="1"/>
        <v>0.12222222222222218</v>
      </c>
      <c r="I30" s="30">
        <v>0.33611111111111114</v>
      </c>
      <c r="J30" s="30">
        <v>0.45833333333333331</v>
      </c>
    </row>
    <row r="31" spans="1:10" x14ac:dyDescent="0.2">
      <c r="A31" s="22">
        <v>46177</v>
      </c>
      <c r="B31" s="22" t="s">
        <v>20</v>
      </c>
      <c r="C31" s="27" t="s">
        <v>125</v>
      </c>
      <c r="D31" s="27"/>
      <c r="E31" s="27" t="s">
        <v>62</v>
      </c>
      <c r="F31" s="27" t="s">
        <v>15</v>
      </c>
      <c r="G31" s="28" t="s">
        <v>275</v>
      </c>
      <c r="H31" s="29">
        <f t="shared" si="1"/>
        <v>3.0555555555555558E-2</v>
      </c>
      <c r="I31" s="30">
        <v>0.45833333333333331</v>
      </c>
      <c r="J31" s="30">
        <v>0.48888888888888887</v>
      </c>
    </row>
    <row r="32" spans="1:10" ht="25.5" x14ac:dyDescent="0.2">
      <c r="A32" s="22">
        <v>46177</v>
      </c>
      <c r="B32" s="22" t="s">
        <v>20</v>
      </c>
      <c r="C32" s="27" t="s">
        <v>125</v>
      </c>
      <c r="D32" s="27"/>
      <c r="E32" s="27" t="s">
        <v>221</v>
      </c>
      <c r="F32" s="27" t="s">
        <v>15</v>
      </c>
      <c r="G32" s="28" t="s">
        <v>278</v>
      </c>
      <c r="H32" s="29">
        <f t="shared" si="1"/>
        <v>5.2777777777777757E-2</v>
      </c>
      <c r="I32" s="30">
        <v>0.48888888888888887</v>
      </c>
      <c r="J32" s="30">
        <v>0.54166666666666663</v>
      </c>
    </row>
    <row r="33" spans="1:10" ht="25.5" x14ac:dyDescent="0.2">
      <c r="A33" s="22">
        <v>46177</v>
      </c>
      <c r="B33" s="22" t="s">
        <v>20</v>
      </c>
      <c r="C33" s="27" t="s">
        <v>125</v>
      </c>
      <c r="D33" s="27"/>
      <c r="E33" s="27" t="s">
        <v>221</v>
      </c>
      <c r="F33" s="27" t="s">
        <v>15</v>
      </c>
      <c r="G33" s="28" t="s">
        <v>278</v>
      </c>
      <c r="H33" s="29">
        <f t="shared" si="1"/>
        <v>8.3333333333333259E-2</v>
      </c>
      <c r="I33" s="30">
        <v>0.58333333333333337</v>
      </c>
      <c r="J33" s="30">
        <v>0.66666666666666663</v>
      </c>
    </row>
    <row r="34" spans="1:10" x14ac:dyDescent="0.2">
      <c r="A34" s="22">
        <v>46177</v>
      </c>
      <c r="B34" s="22" t="s">
        <v>20</v>
      </c>
      <c r="C34" s="27" t="s">
        <v>125</v>
      </c>
      <c r="D34" s="27"/>
      <c r="E34" s="27" t="s">
        <v>62</v>
      </c>
      <c r="F34" s="27" t="s">
        <v>15</v>
      </c>
      <c r="G34" s="23" t="s">
        <v>224</v>
      </c>
      <c r="H34" s="29">
        <f t="shared" si="1"/>
        <v>4.1666666666666741E-2</v>
      </c>
      <c r="I34" s="30">
        <v>0.66666666666666663</v>
      </c>
      <c r="J34" s="30">
        <v>0.70833333333333337</v>
      </c>
    </row>
    <row r="35" spans="1:10" x14ac:dyDescent="0.2">
      <c r="A35" s="22">
        <v>46178</v>
      </c>
      <c r="B35" s="22" t="s">
        <v>11</v>
      </c>
      <c r="C35" s="27" t="s">
        <v>125</v>
      </c>
      <c r="D35" s="27"/>
      <c r="E35" s="27" t="s">
        <v>62</v>
      </c>
      <c r="F35" s="27" t="s">
        <v>15</v>
      </c>
      <c r="G35" s="28" t="s">
        <v>222</v>
      </c>
      <c r="H35" s="29">
        <f t="shared" si="1"/>
        <v>1.6666666666666663E-2</v>
      </c>
      <c r="I35" s="30">
        <v>0.33333333333333331</v>
      </c>
      <c r="J35" s="30">
        <v>0.35</v>
      </c>
    </row>
    <row r="36" spans="1:10" x14ac:dyDescent="0.2">
      <c r="A36" s="22">
        <v>46178</v>
      </c>
      <c r="B36" s="22" t="s">
        <v>11</v>
      </c>
      <c r="C36" s="27" t="s">
        <v>125</v>
      </c>
      <c r="D36" s="27"/>
      <c r="E36" s="27" t="s">
        <v>64</v>
      </c>
      <c r="F36" s="27" t="s">
        <v>15</v>
      </c>
      <c r="G36" s="27" t="s">
        <v>279</v>
      </c>
      <c r="H36" s="29">
        <f t="shared" si="1"/>
        <v>0.12916666666666671</v>
      </c>
      <c r="I36" s="30">
        <v>0.35</v>
      </c>
      <c r="J36" s="30">
        <v>0.47916666666666669</v>
      </c>
    </row>
    <row r="37" spans="1:10" x14ac:dyDescent="0.2">
      <c r="A37" s="22">
        <v>46178</v>
      </c>
      <c r="B37" s="22" t="s">
        <v>11</v>
      </c>
      <c r="C37" s="27" t="s">
        <v>125</v>
      </c>
      <c r="D37" s="27"/>
      <c r="E37" s="27" t="s">
        <v>62</v>
      </c>
      <c r="F37" s="27" t="s">
        <v>15</v>
      </c>
      <c r="G37" s="28" t="s">
        <v>275</v>
      </c>
      <c r="H37" s="29">
        <f t="shared" si="1"/>
        <v>3.2638888888888828E-2</v>
      </c>
      <c r="I37" s="30">
        <v>0.47916666666666669</v>
      </c>
      <c r="J37" s="30">
        <v>0.51180555555555551</v>
      </c>
    </row>
    <row r="38" spans="1:10" x14ac:dyDescent="0.2">
      <c r="A38" s="22">
        <v>46178</v>
      </c>
      <c r="B38" s="22" t="s">
        <v>11</v>
      </c>
      <c r="C38" s="27" t="s">
        <v>125</v>
      </c>
      <c r="D38" s="27"/>
      <c r="E38" s="27" t="s">
        <v>64</v>
      </c>
      <c r="F38" s="27" t="s">
        <v>15</v>
      </c>
      <c r="G38" s="27" t="s">
        <v>279</v>
      </c>
      <c r="H38" s="29">
        <f t="shared" si="1"/>
        <v>3.8888888888888973E-2</v>
      </c>
      <c r="I38" s="30">
        <v>0.51180555555555551</v>
      </c>
      <c r="J38" s="30">
        <v>0.55069444444444449</v>
      </c>
    </row>
    <row r="39" spans="1:10" x14ac:dyDescent="0.2">
      <c r="A39" s="22">
        <v>46178</v>
      </c>
      <c r="B39" s="22" t="s">
        <v>11</v>
      </c>
      <c r="C39" s="27" t="s">
        <v>125</v>
      </c>
      <c r="D39" s="27"/>
      <c r="E39" s="27" t="s">
        <v>64</v>
      </c>
      <c r="F39" s="27" t="s">
        <v>15</v>
      </c>
      <c r="G39" s="27" t="s">
        <v>279</v>
      </c>
      <c r="H39" s="29">
        <f t="shared" si="1"/>
        <v>7.4305555555555514E-2</v>
      </c>
      <c r="I39" s="30">
        <v>0.59236111111111112</v>
      </c>
      <c r="J39" s="30">
        <v>0.66666666666666663</v>
      </c>
    </row>
    <row r="40" spans="1:10" x14ac:dyDescent="0.2">
      <c r="A40" s="22">
        <v>46178</v>
      </c>
      <c r="B40" s="22" t="s">
        <v>11</v>
      </c>
      <c r="C40" s="27" t="s">
        <v>125</v>
      </c>
      <c r="D40" s="27"/>
      <c r="E40" s="27" t="s">
        <v>62</v>
      </c>
      <c r="F40" s="27" t="s">
        <v>15</v>
      </c>
      <c r="G40" s="23" t="s">
        <v>224</v>
      </c>
      <c r="H40" s="29">
        <f t="shared" si="1"/>
        <v>7.0833333333333415E-2</v>
      </c>
      <c r="I40" s="30">
        <v>0.66666666666666663</v>
      </c>
      <c r="J40" s="30">
        <v>0.73750000000000004</v>
      </c>
    </row>
    <row r="41" spans="1:10" x14ac:dyDescent="0.2">
      <c r="A41" s="31">
        <v>46179</v>
      </c>
      <c r="B41" s="31" t="s">
        <v>14</v>
      </c>
      <c r="C41" s="32"/>
      <c r="D41" s="32"/>
      <c r="E41" s="32"/>
      <c r="F41" s="32"/>
      <c r="G41" s="33"/>
      <c r="H41" s="34">
        <f t="shared" si="1"/>
        <v>0</v>
      </c>
      <c r="I41" s="35"/>
      <c r="J41" s="35"/>
    </row>
    <row r="42" spans="1:10" x14ac:dyDescent="0.2">
      <c r="A42" s="31">
        <v>46180</v>
      </c>
      <c r="B42" s="31" t="s">
        <v>16</v>
      </c>
      <c r="C42" s="32"/>
      <c r="D42" s="32"/>
      <c r="E42" s="32"/>
      <c r="F42" s="32"/>
      <c r="G42" s="33"/>
      <c r="H42" s="34">
        <f t="shared" si="1"/>
        <v>0</v>
      </c>
      <c r="I42" s="35"/>
      <c r="J42" s="35"/>
    </row>
    <row r="43" spans="1:10" ht="38.25" x14ac:dyDescent="0.2">
      <c r="A43" s="22">
        <v>46181</v>
      </c>
      <c r="B43" s="22" t="s">
        <v>17</v>
      </c>
      <c r="C43" s="27" t="s">
        <v>125</v>
      </c>
      <c r="D43" s="27"/>
      <c r="E43" s="27" t="s">
        <v>62</v>
      </c>
      <c r="F43" s="27" t="s">
        <v>15</v>
      </c>
      <c r="G43" s="28" t="s">
        <v>284</v>
      </c>
      <c r="H43" s="29">
        <f t="shared" si="1"/>
        <v>3.4722222222222265E-2</v>
      </c>
      <c r="I43" s="30">
        <v>0.33333333333333331</v>
      </c>
      <c r="J43" s="30">
        <v>0.36805555555555558</v>
      </c>
    </row>
    <row r="44" spans="1:10" x14ac:dyDescent="0.2">
      <c r="A44" s="22">
        <v>46181</v>
      </c>
      <c r="B44" s="22" t="s">
        <v>17</v>
      </c>
      <c r="C44" s="27" t="s">
        <v>125</v>
      </c>
      <c r="D44" s="27"/>
      <c r="E44" s="27" t="s">
        <v>221</v>
      </c>
      <c r="F44" s="27" t="s">
        <v>15</v>
      </c>
      <c r="G44" s="28" t="s">
        <v>283</v>
      </c>
      <c r="H44" s="29">
        <f t="shared" si="1"/>
        <v>9.0277777777777735E-2</v>
      </c>
      <c r="I44" s="30">
        <v>0.36805555555555558</v>
      </c>
      <c r="J44" s="30">
        <v>0.45833333333333331</v>
      </c>
    </row>
    <row r="45" spans="1:10" x14ac:dyDescent="0.2">
      <c r="A45" s="22">
        <v>46181</v>
      </c>
      <c r="B45" s="22" t="s">
        <v>17</v>
      </c>
      <c r="C45" s="27" t="s">
        <v>125</v>
      </c>
      <c r="D45" s="27"/>
      <c r="E45" s="27" t="s">
        <v>62</v>
      </c>
      <c r="F45" s="27" t="s">
        <v>15</v>
      </c>
      <c r="G45" s="28" t="s">
        <v>275</v>
      </c>
      <c r="H45" s="29">
        <f t="shared" si="1"/>
        <v>3.6805555555555591E-2</v>
      </c>
      <c r="I45" s="30">
        <v>0.45833333333333331</v>
      </c>
      <c r="J45" s="30">
        <v>0.49513888888888891</v>
      </c>
    </row>
    <row r="46" spans="1:10" ht="25.5" x14ac:dyDescent="0.2">
      <c r="A46" s="22">
        <v>46181</v>
      </c>
      <c r="B46" s="22" t="s">
        <v>17</v>
      </c>
      <c r="C46" s="27" t="s">
        <v>125</v>
      </c>
      <c r="D46" s="27"/>
      <c r="E46" s="27" t="s">
        <v>62</v>
      </c>
      <c r="F46" s="27" t="s">
        <v>15</v>
      </c>
      <c r="G46" s="28" t="s">
        <v>280</v>
      </c>
      <c r="H46" s="29">
        <f t="shared" si="1"/>
        <v>3.2638888888888884E-2</v>
      </c>
      <c r="I46" s="30">
        <v>0.49513888888888891</v>
      </c>
      <c r="J46" s="30">
        <v>0.52777777777777779</v>
      </c>
    </row>
    <row r="47" spans="1:10" ht="25.5" x14ac:dyDescent="0.2">
      <c r="A47" s="22">
        <v>46181</v>
      </c>
      <c r="B47" s="22" t="s">
        <v>17</v>
      </c>
      <c r="C47" s="27" t="s">
        <v>125</v>
      </c>
      <c r="D47" s="27"/>
      <c r="E47" s="27" t="s">
        <v>69</v>
      </c>
      <c r="F47" s="27" t="s">
        <v>15</v>
      </c>
      <c r="G47" s="28" t="s">
        <v>285</v>
      </c>
      <c r="H47" s="29">
        <f t="shared" si="1"/>
        <v>9.722222222222221E-2</v>
      </c>
      <c r="I47" s="30">
        <v>0.56944444444444442</v>
      </c>
      <c r="J47" s="30">
        <v>0.66666666666666663</v>
      </c>
    </row>
    <row r="48" spans="1:10" x14ac:dyDescent="0.2">
      <c r="A48" s="22">
        <v>46181</v>
      </c>
      <c r="B48" s="22" t="s">
        <v>17</v>
      </c>
      <c r="C48" s="27" t="s">
        <v>125</v>
      </c>
      <c r="D48" s="27"/>
      <c r="E48" s="27" t="s">
        <v>62</v>
      </c>
      <c r="F48" s="27" t="s">
        <v>15</v>
      </c>
      <c r="G48" s="27" t="s">
        <v>224</v>
      </c>
      <c r="H48" s="29">
        <f t="shared" si="1"/>
        <v>4.1666666666666741E-2</v>
      </c>
      <c r="I48" s="30">
        <v>0.66666666666666663</v>
      </c>
      <c r="J48" s="30">
        <v>0.70833333333333337</v>
      </c>
    </row>
    <row r="49" spans="1:10" ht="25.5" x14ac:dyDescent="0.2">
      <c r="A49" s="22">
        <v>46182</v>
      </c>
      <c r="B49" s="22" t="s">
        <v>18</v>
      </c>
      <c r="C49" s="27" t="s">
        <v>125</v>
      </c>
      <c r="D49" s="27"/>
      <c r="E49" s="27" t="s">
        <v>39</v>
      </c>
      <c r="F49" s="27" t="s">
        <v>15</v>
      </c>
      <c r="G49" s="28" t="s">
        <v>281</v>
      </c>
      <c r="H49" s="29">
        <f t="shared" si="1"/>
        <v>2.083333333333337E-2</v>
      </c>
      <c r="I49" s="30">
        <v>0.33333333333333331</v>
      </c>
      <c r="J49" s="30">
        <v>0.35416666666666669</v>
      </c>
    </row>
    <row r="50" spans="1:10" x14ac:dyDescent="0.2">
      <c r="A50" s="22">
        <v>46182</v>
      </c>
      <c r="B50" s="22" t="s">
        <v>18</v>
      </c>
      <c r="C50" s="27" t="s">
        <v>125</v>
      </c>
      <c r="D50" s="27"/>
      <c r="E50" s="27" t="s">
        <v>62</v>
      </c>
      <c r="F50" s="27" t="s">
        <v>15</v>
      </c>
      <c r="G50" s="28" t="s">
        <v>222</v>
      </c>
      <c r="H50" s="29">
        <f t="shared" si="1"/>
        <v>2.0833333333333259E-3</v>
      </c>
      <c r="I50" s="30">
        <v>0.35416666666666669</v>
      </c>
      <c r="J50" s="30">
        <v>0.35625000000000001</v>
      </c>
    </row>
    <row r="51" spans="1:10" ht="25.5" x14ac:dyDescent="0.2">
      <c r="A51" s="22">
        <v>46182</v>
      </c>
      <c r="B51" s="22" t="s">
        <v>18</v>
      </c>
      <c r="C51" s="27" t="s">
        <v>125</v>
      </c>
      <c r="D51" s="27"/>
      <c r="E51" s="27" t="s">
        <v>64</v>
      </c>
      <c r="F51" s="27" t="s">
        <v>15</v>
      </c>
      <c r="G51" s="28" t="s">
        <v>286</v>
      </c>
      <c r="H51" s="29">
        <f t="shared" si="1"/>
        <v>0.1020833333333333</v>
      </c>
      <c r="I51" s="30">
        <v>0.35625000000000001</v>
      </c>
      <c r="J51" s="30">
        <v>0.45833333333333331</v>
      </c>
    </row>
    <row r="52" spans="1:10" x14ac:dyDescent="0.2">
      <c r="A52" s="22">
        <v>46182</v>
      </c>
      <c r="B52" s="22" t="s">
        <v>18</v>
      </c>
      <c r="C52" s="27" t="s">
        <v>125</v>
      </c>
      <c r="D52" s="27"/>
      <c r="E52" s="27" t="s">
        <v>62</v>
      </c>
      <c r="F52" s="27" t="s">
        <v>15</v>
      </c>
      <c r="G52" s="28" t="s">
        <v>275</v>
      </c>
      <c r="H52" s="29">
        <f t="shared" si="1"/>
        <v>2.8472222222222232E-2</v>
      </c>
      <c r="I52" s="30">
        <v>0.45833333333333331</v>
      </c>
      <c r="J52" s="30">
        <v>0.48680555555555555</v>
      </c>
    </row>
    <row r="53" spans="1:10" ht="25.5" x14ac:dyDescent="0.2">
      <c r="A53" s="22">
        <v>46182</v>
      </c>
      <c r="B53" s="22" t="s">
        <v>18</v>
      </c>
      <c r="C53" s="27" t="s">
        <v>125</v>
      </c>
      <c r="D53" s="27"/>
      <c r="E53" s="27" t="s">
        <v>64</v>
      </c>
      <c r="F53" s="27" t="s">
        <v>15</v>
      </c>
      <c r="G53" s="28" t="s">
        <v>287</v>
      </c>
      <c r="H53" s="29">
        <f t="shared" si="1"/>
        <v>5.4861111111111083E-2</v>
      </c>
      <c r="I53" s="30">
        <v>0.48680555555555555</v>
      </c>
      <c r="J53" s="30">
        <v>0.54166666666666663</v>
      </c>
    </row>
    <row r="54" spans="1:10" ht="25.5" x14ac:dyDescent="0.2">
      <c r="A54" s="22">
        <v>46182</v>
      </c>
      <c r="B54" s="22" t="s">
        <v>18</v>
      </c>
      <c r="C54" s="27" t="s">
        <v>125</v>
      </c>
      <c r="D54" s="27"/>
      <c r="E54" s="27" t="s">
        <v>64</v>
      </c>
      <c r="F54" s="27" t="s">
        <v>15</v>
      </c>
      <c r="G54" s="28" t="s">
        <v>282</v>
      </c>
      <c r="H54" s="29">
        <f t="shared" si="1"/>
        <v>8.3333333333333259E-2</v>
      </c>
      <c r="I54" s="30">
        <v>0.58333333333333337</v>
      </c>
      <c r="J54" s="126">
        <v>0.66666666666666663</v>
      </c>
    </row>
    <row r="55" spans="1:10" x14ac:dyDescent="0.2">
      <c r="A55" s="22">
        <v>46182</v>
      </c>
      <c r="B55" s="22" t="s">
        <v>18</v>
      </c>
      <c r="C55" s="27" t="s">
        <v>125</v>
      </c>
      <c r="D55" s="27"/>
      <c r="E55" s="27" t="s">
        <v>62</v>
      </c>
      <c r="F55" s="27" t="s">
        <v>15</v>
      </c>
      <c r="G55" s="27" t="s">
        <v>224</v>
      </c>
      <c r="H55" s="29">
        <f t="shared" si="1"/>
        <v>4.1666666666666741E-2</v>
      </c>
      <c r="I55" s="123">
        <v>0.66666666666666663</v>
      </c>
      <c r="J55" s="30">
        <v>0.70833333333333337</v>
      </c>
    </row>
    <row r="56" spans="1:10" x14ac:dyDescent="0.2">
      <c r="A56" s="22">
        <v>46183</v>
      </c>
      <c r="B56" s="22" t="s">
        <v>19</v>
      </c>
      <c r="C56" s="27" t="s">
        <v>125</v>
      </c>
      <c r="D56" s="27"/>
      <c r="E56" s="27" t="s">
        <v>62</v>
      </c>
      <c r="F56" s="27" t="s">
        <v>15</v>
      </c>
      <c r="G56" s="28" t="s">
        <v>222</v>
      </c>
      <c r="H56" s="29">
        <f t="shared" si="1"/>
        <v>9.0277777777778012E-3</v>
      </c>
      <c r="I56" s="30">
        <v>0.33333333333333331</v>
      </c>
      <c r="J56" s="30">
        <v>0.34236111111111112</v>
      </c>
    </row>
    <row r="57" spans="1:10" ht="25.5" x14ac:dyDescent="0.2">
      <c r="A57" s="22">
        <v>46183</v>
      </c>
      <c r="B57" s="22" t="s">
        <v>19</v>
      </c>
      <c r="C57" s="27" t="s">
        <v>125</v>
      </c>
      <c r="D57" s="27"/>
      <c r="E57" s="27" t="s">
        <v>64</v>
      </c>
      <c r="F57" s="27" t="s">
        <v>15</v>
      </c>
      <c r="G57" s="28" t="s">
        <v>288</v>
      </c>
      <c r="H57" s="29">
        <f t="shared" si="1"/>
        <v>0.13680555555555557</v>
      </c>
      <c r="I57" s="30">
        <v>0.34236111111111112</v>
      </c>
      <c r="J57" s="30">
        <v>0.47916666666666669</v>
      </c>
    </row>
    <row r="58" spans="1:10" x14ac:dyDescent="0.2">
      <c r="A58" s="22">
        <v>46183</v>
      </c>
      <c r="B58" s="22" t="s">
        <v>19</v>
      </c>
      <c r="C58" s="27" t="s">
        <v>125</v>
      </c>
      <c r="D58" s="27"/>
      <c r="E58" s="27" t="s">
        <v>62</v>
      </c>
      <c r="F58" s="27" t="s">
        <v>15</v>
      </c>
      <c r="G58" s="28" t="s">
        <v>275</v>
      </c>
      <c r="H58" s="29">
        <f t="shared" si="1"/>
        <v>4.4444444444444453E-2</v>
      </c>
      <c r="I58" s="30">
        <v>0.47916666666666669</v>
      </c>
      <c r="J58" s="30">
        <v>0.52361111111111114</v>
      </c>
    </row>
    <row r="59" spans="1:10" ht="38.25" x14ac:dyDescent="0.2">
      <c r="A59" s="22">
        <v>46183</v>
      </c>
      <c r="B59" s="22" t="s">
        <v>19</v>
      </c>
      <c r="C59" s="27" t="s">
        <v>125</v>
      </c>
      <c r="D59" s="27"/>
      <c r="E59" s="27" t="s">
        <v>64</v>
      </c>
      <c r="F59" s="27" t="s">
        <v>15</v>
      </c>
      <c r="G59" s="28" t="s">
        <v>289</v>
      </c>
      <c r="H59" s="29">
        <f t="shared" si="1"/>
        <v>1.8055555555555491E-2</v>
      </c>
      <c r="I59" s="30">
        <v>0.52361111111111114</v>
      </c>
      <c r="J59" s="30">
        <v>0.54166666666666663</v>
      </c>
    </row>
    <row r="60" spans="1:10" ht="38.25" x14ac:dyDescent="0.2">
      <c r="A60" s="22">
        <v>46183</v>
      </c>
      <c r="B60" s="22" t="s">
        <v>19</v>
      </c>
      <c r="C60" s="27" t="s">
        <v>125</v>
      </c>
      <c r="D60" s="27"/>
      <c r="E60" s="27" t="s">
        <v>64</v>
      </c>
      <c r="F60" s="27" t="s">
        <v>15</v>
      </c>
      <c r="G60" s="28" t="s">
        <v>289</v>
      </c>
      <c r="H60" s="29">
        <f t="shared" si="1"/>
        <v>8.3333333333333259E-2</v>
      </c>
      <c r="I60" s="30">
        <v>0.58333333333333337</v>
      </c>
      <c r="J60" s="30">
        <v>0.66666666666666663</v>
      </c>
    </row>
    <row r="61" spans="1:10" x14ac:dyDescent="0.2">
      <c r="A61" s="22">
        <v>46183</v>
      </c>
      <c r="B61" s="22" t="s">
        <v>19</v>
      </c>
      <c r="C61" s="27" t="s">
        <v>125</v>
      </c>
      <c r="D61" s="27"/>
      <c r="E61" s="27" t="s">
        <v>62</v>
      </c>
      <c r="F61" s="27" t="s">
        <v>15</v>
      </c>
      <c r="G61" s="23" t="s">
        <v>224</v>
      </c>
      <c r="H61" s="29">
        <f t="shared" si="1"/>
        <v>4.1666666666666741E-2</v>
      </c>
      <c r="I61" s="30">
        <v>0.66666666666666663</v>
      </c>
      <c r="J61" s="30">
        <v>0.70833333333333337</v>
      </c>
    </row>
    <row r="62" spans="1:10" x14ac:dyDescent="0.2">
      <c r="A62" s="22">
        <v>46184</v>
      </c>
      <c r="B62" s="22" t="s">
        <v>20</v>
      </c>
      <c r="C62" s="27" t="s">
        <v>125</v>
      </c>
      <c r="D62" s="27"/>
      <c r="E62" s="27" t="s">
        <v>62</v>
      </c>
      <c r="F62" s="27" t="s">
        <v>15</v>
      </c>
      <c r="G62" s="28" t="s">
        <v>222</v>
      </c>
      <c r="H62" s="29">
        <f t="shared" si="1"/>
        <v>1.3888888888888895E-2</v>
      </c>
      <c r="I62" s="30">
        <v>0.33333333333333331</v>
      </c>
      <c r="J62" s="30">
        <v>0.34722222222222221</v>
      </c>
    </row>
    <row r="63" spans="1:10" ht="38.25" x14ac:dyDescent="0.2">
      <c r="A63" s="22">
        <v>46184</v>
      </c>
      <c r="B63" s="22" t="s">
        <v>20</v>
      </c>
      <c r="C63" s="27" t="s">
        <v>125</v>
      </c>
      <c r="D63" s="27"/>
      <c r="E63" s="27" t="s">
        <v>64</v>
      </c>
      <c r="F63" s="27" t="s">
        <v>15</v>
      </c>
      <c r="G63" s="28" t="s">
        <v>290</v>
      </c>
      <c r="H63" s="29">
        <f t="shared" si="1"/>
        <v>0.1111111111111111</v>
      </c>
      <c r="I63" s="30">
        <v>0.34722222222222221</v>
      </c>
      <c r="J63" s="30">
        <v>0.45833333333333331</v>
      </c>
    </row>
    <row r="64" spans="1:10" x14ac:dyDescent="0.2">
      <c r="A64" s="22">
        <v>46184</v>
      </c>
      <c r="B64" s="22" t="s">
        <v>20</v>
      </c>
      <c r="C64" s="27" t="s">
        <v>125</v>
      </c>
      <c r="D64" s="27"/>
      <c r="E64" s="27" t="s">
        <v>62</v>
      </c>
      <c r="F64" s="27" t="s">
        <v>15</v>
      </c>
      <c r="G64" s="28" t="s">
        <v>275</v>
      </c>
      <c r="H64" s="29">
        <f t="shared" si="1"/>
        <v>1.6666666666666663E-2</v>
      </c>
      <c r="I64" s="30">
        <v>0.45833333333333331</v>
      </c>
      <c r="J64" s="30">
        <v>0.47499999999999998</v>
      </c>
    </row>
    <row r="65" spans="1:10" ht="38.25" x14ac:dyDescent="0.2">
      <c r="A65" s="22">
        <v>46184</v>
      </c>
      <c r="B65" s="22" t="s">
        <v>20</v>
      </c>
      <c r="C65" s="27" t="s">
        <v>125</v>
      </c>
      <c r="D65" s="27"/>
      <c r="E65" s="27" t="s">
        <v>75</v>
      </c>
      <c r="F65" s="27" t="s">
        <v>15</v>
      </c>
      <c r="G65" s="28" t="s">
        <v>290</v>
      </c>
      <c r="H65" s="29">
        <f t="shared" si="1"/>
        <v>7.8472222222222276E-2</v>
      </c>
      <c r="I65" s="30">
        <v>0.47499999999999998</v>
      </c>
      <c r="J65" s="30">
        <v>0.55347222222222225</v>
      </c>
    </row>
    <row r="66" spans="1:10" ht="38.25" x14ac:dyDescent="0.2">
      <c r="A66" s="22">
        <v>46184</v>
      </c>
      <c r="B66" s="22" t="s">
        <v>20</v>
      </c>
      <c r="C66" s="27" t="s">
        <v>125</v>
      </c>
      <c r="D66" s="27"/>
      <c r="E66" s="27" t="s">
        <v>75</v>
      </c>
      <c r="F66" s="27" t="s">
        <v>15</v>
      </c>
      <c r="G66" s="28" t="s">
        <v>290</v>
      </c>
      <c r="H66" s="29">
        <f t="shared" si="1"/>
        <v>7.7083333333333282E-2</v>
      </c>
      <c r="I66" s="30">
        <v>0.58958333333333335</v>
      </c>
      <c r="J66" s="30">
        <v>0.66666666666666663</v>
      </c>
    </row>
    <row r="67" spans="1:10" x14ac:dyDescent="0.2">
      <c r="A67" s="22">
        <v>46184</v>
      </c>
      <c r="B67" s="22" t="s">
        <v>20</v>
      </c>
      <c r="C67" s="27" t="s">
        <v>125</v>
      </c>
      <c r="D67" s="27"/>
      <c r="E67" s="27" t="s">
        <v>62</v>
      </c>
      <c r="F67" s="27" t="s">
        <v>15</v>
      </c>
      <c r="G67" s="23" t="s">
        <v>292</v>
      </c>
      <c r="H67" s="29">
        <f t="shared" si="1"/>
        <v>4.1666666666666741E-2</v>
      </c>
      <c r="I67" s="30">
        <v>0.66666666666666663</v>
      </c>
      <c r="J67" s="30">
        <v>0.70833333333333337</v>
      </c>
    </row>
    <row r="68" spans="1:10" x14ac:dyDescent="0.2">
      <c r="A68" s="22">
        <v>46185</v>
      </c>
      <c r="B68" s="22" t="s">
        <v>11</v>
      </c>
      <c r="C68" s="27" t="s">
        <v>125</v>
      </c>
      <c r="D68" s="27"/>
      <c r="E68" s="27" t="s">
        <v>62</v>
      </c>
      <c r="F68" s="27" t="s">
        <v>15</v>
      </c>
      <c r="G68" s="28" t="s">
        <v>222</v>
      </c>
      <c r="H68" s="29">
        <f t="shared" si="1"/>
        <v>1.1111111111111127E-2</v>
      </c>
      <c r="I68" s="30">
        <v>0.33333333333333331</v>
      </c>
      <c r="J68" s="30">
        <v>0.34444444444444444</v>
      </c>
    </row>
    <row r="69" spans="1:10" x14ac:dyDescent="0.2">
      <c r="A69" s="22">
        <v>46185</v>
      </c>
      <c r="B69" s="22" t="s">
        <v>11</v>
      </c>
      <c r="C69" s="27" t="s">
        <v>125</v>
      </c>
      <c r="D69" s="27"/>
      <c r="E69" s="27" t="s">
        <v>221</v>
      </c>
      <c r="F69" s="27" t="s">
        <v>15</v>
      </c>
      <c r="G69" s="28" t="s">
        <v>291</v>
      </c>
      <c r="H69" s="29">
        <f t="shared" si="1"/>
        <v>7.2222222222222243E-2</v>
      </c>
      <c r="I69" s="30">
        <v>0.34444444444444444</v>
      </c>
      <c r="J69" s="30">
        <v>0.41666666666666669</v>
      </c>
    </row>
    <row r="70" spans="1:10" x14ac:dyDescent="0.2">
      <c r="A70" s="22">
        <v>46185</v>
      </c>
      <c r="B70" s="22" t="s">
        <v>11</v>
      </c>
      <c r="C70" s="27" t="s">
        <v>125</v>
      </c>
      <c r="D70" s="27"/>
      <c r="E70" s="27" t="s">
        <v>221</v>
      </c>
      <c r="F70" s="27" t="s">
        <v>15</v>
      </c>
      <c r="G70" s="28" t="s">
        <v>293</v>
      </c>
      <c r="H70" s="29">
        <f t="shared" si="1"/>
        <v>0.12499999999999994</v>
      </c>
      <c r="I70" s="30">
        <v>0.41666666666666669</v>
      </c>
      <c r="J70" s="30">
        <v>0.54166666666666663</v>
      </c>
    </row>
    <row r="71" spans="1:10" x14ac:dyDescent="0.2">
      <c r="A71" s="22">
        <v>46185</v>
      </c>
      <c r="B71" s="22" t="s">
        <v>11</v>
      </c>
      <c r="C71" s="27" t="s">
        <v>125</v>
      </c>
      <c r="D71" s="27"/>
      <c r="E71" s="27" t="s">
        <v>221</v>
      </c>
      <c r="F71" s="27" t="s">
        <v>15</v>
      </c>
      <c r="G71" s="28" t="s">
        <v>293</v>
      </c>
      <c r="H71" s="29">
        <f t="shared" si="1"/>
        <v>8.3333333333333259E-2</v>
      </c>
      <c r="I71" s="30">
        <v>0.58333333333333337</v>
      </c>
      <c r="J71" s="30">
        <v>0.66666666666666663</v>
      </c>
    </row>
    <row r="72" spans="1:10" x14ac:dyDescent="0.2">
      <c r="A72" s="22">
        <v>46185</v>
      </c>
      <c r="B72" s="22" t="s">
        <v>11</v>
      </c>
      <c r="C72" s="27" t="s">
        <v>125</v>
      </c>
      <c r="D72" s="27"/>
      <c r="E72" s="27" t="s">
        <v>62</v>
      </c>
      <c r="F72" s="27" t="s">
        <v>15</v>
      </c>
      <c r="G72" s="23" t="s">
        <v>224</v>
      </c>
      <c r="H72" s="29">
        <f t="shared" si="1"/>
        <v>4.1666666666666741E-2</v>
      </c>
      <c r="I72" s="30">
        <v>0.66666666666666663</v>
      </c>
      <c r="J72" s="30">
        <v>0.70833333333333337</v>
      </c>
    </row>
    <row r="73" spans="1:10" x14ac:dyDescent="0.2">
      <c r="A73" s="31">
        <v>46186</v>
      </c>
      <c r="B73" s="31" t="s">
        <v>14</v>
      </c>
      <c r="C73" s="32"/>
      <c r="D73" s="32"/>
      <c r="E73" s="32"/>
      <c r="F73" s="32"/>
      <c r="G73" s="33"/>
      <c r="H73" s="34">
        <f t="shared" si="1"/>
        <v>0</v>
      </c>
      <c r="I73" s="35"/>
      <c r="J73" s="35"/>
    </row>
    <row r="74" spans="1:10" x14ac:dyDescent="0.2">
      <c r="A74" s="31">
        <v>46187</v>
      </c>
      <c r="B74" s="31" t="s">
        <v>16</v>
      </c>
      <c r="C74" s="32"/>
      <c r="D74" s="32"/>
      <c r="E74" s="32"/>
      <c r="F74" s="32"/>
      <c r="G74" s="33"/>
      <c r="H74" s="34">
        <f t="shared" si="1"/>
        <v>0</v>
      </c>
      <c r="I74" s="35"/>
      <c r="J74" s="35"/>
    </row>
    <row r="75" spans="1:10" x14ac:dyDescent="0.2">
      <c r="A75" s="22">
        <v>46188</v>
      </c>
      <c r="B75" s="22" t="s">
        <v>17</v>
      </c>
      <c r="C75" s="27" t="s">
        <v>125</v>
      </c>
      <c r="D75" s="27"/>
      <c r="E75" s="27" t="s">
        <v>62</v>
      </c>
      <c r="F75" s="27" t="s">
        <v>15</v>
      </c>
      <c r="G75" s="28" t="s">
        <v>222</v>
      </c>
      <c r="H75" s="29">
        <f t="shared" si="1"/>
        <v>9.7222222222222432E-3</v>
      </c>
      <c r="I75" s="30">
        <v>0.33333333333333331</v>
      </c>
      <c r="J75" s="30">
        <v>0.34305555555555556</v>
      </c>
    </row>
    <row r="76" spans="1:10" x14ac:dyDescent="0.2">
      <c r="A76" s="22">
        <v>46188</v>
      </c>
      <c r="B76" s="22" t="s">
        <v>17</v>
      </c>
      <c r="C76" s="27" t="s">
        <v>125</v>
      </c>
      <c r="D76" s="27"/>
      <c r="E76" s="27" t="s">
        <v>221</v>
      </c>
      <c r="F76" s="27" t="s">
        <v>15</v>
      </c>
      <c r="G76" s="28" t="s">
        <v>293</v>
      </c>
      <c r="H76" s="29">
        <f t="shared" si="1"/>
        <v>0.11527777777777776</v>
      </c>
      <c r="I76" s="30">
        <v>0.34305555555555556</v>
      </c>
      <c r="J76" s="30">
        <v>0.45833333333333331</v>
      </c>
    </row>
    <row r="77" spans="1:10" x14ac:dyDescent="0.2">
      <c r="A77" s="22">
        <v>46188</v>
      </c>
      <c r="B77" s="22" t="s">
        <v>17</v>
      </c>
      <c r="C77" s="27" t="s">
        <v>125</v>
      </c>
      <c r="D77" s="27"/>
      <c r="E77" s="27" t="s">
        <v>62</v>
      </c>
      <c r="F77" s="27" t="s">
        <v>15</v>
      </c>
      <c r="G77" s="28" t="s">
        <v>275</v>
      </c>
      <c r="H77" s="29">
        <f>J78-I77</f>
        <v>8.3333333333333315E-2</v>
      </c>
      <c r="I77" s="30">
        <v>0.45833333333333331</v>
      </c>
      <c r="J77" s="126">
        <v>0.49583333333333335</v>
      </c>
    </row>
    <row r="78" spans="1:10" x14ac:dyDescent="0.2">
      <c r="A78" s="22">
        <v>46188</v>
      </c>
      <c r="B78" s="22" t="s">
        <v>17</v>
      </c>
      <c r="C78" s="27" t="s">
        <v>125</v>
      </c>
      <c r="D78" s="27"/>
      <c r="E78" s="27" t="s">
        <v>221</v>
      </c>
      <c r="F78" s="27" t="s">
        <v>15</v>
      </c>
      <c r="G78" s="28" t="s">
        <v>293</v>
      </c>
      <c r="H78" s="29">
        <f>J79-I79</f>
        <v>8.3333333333333259E-2</v>
      </c>
      <c r="I78" s="126">
        <v>0.49583333333333335</v>
      </c>
      <c r="J78" s="30">
        <v>0.54166666666666663</v>
      </c>
    </row>
    <row r="79" spans="1:10" x14ac:dyDescent="0.2">
      <c r="A79" s="22">
        <v>46188</v>
      </c>
      <c r="B79" s="22" t="s">
        <v>17</v>
      </c>
      <c r="C79" s="27" t="s">
        <v>125</v>
      </c>
      <c r="D79" s="27"/>
      <c r="E79" s="27" t="s">
        <v>221</v>
      </c>
      <c r="F79" s="27" t="s">
        <v>15</v>
      </c>
      <c r="G79" s="28" t="s">
        <v>293</v>
      </c>
      <c r="H79" s="29">
        <f t="shared" ref="H79:H80" si="2">J80-I80</f>
        <v>4.1666666666666741E-2</v>
      </c>
      <c r="I79" s="30">
        <v>0.58333333333333337</v>
      </c>
      <c r="J79" s="30">
        <v>0.66666666666666663</v>
      </c>
    </row>
    <row r="80" spans="1:10" x14ac:dyDescent="0.2">
      <c r="A80" s="22">
        <v>46188</v>
      </c>
      <c r="B80" s="22" t="s">
        <v>17</v>
      </c>
      <c r="C80" s="27" t="s">
        <v>125</v>
      </c>
      <c r="D80" s="27"/>
      <c r="E80" s="27" t="s">
        <v>62</v>
      </c>
      <c r="F80" s="27" t="s">
        <v>15</v>
      </c>
      <c r="G80" s="23" t="s">
        <v>296</v>
      </c>
      <c r="H80" s="29">
        <f t="shared" si="2"/>
        <v>0.33333333333333331</v>
      </c>
      <c r="I80" s="30">
        <v>0.66666666666666663</v>
      </c>
      <c r="J80" s="30">
        <v>0.70833333333333337</v>
      </c>
    </row>
    <row r="81" spans="1:10" x14ac:dyDescent="0.2">
      <c r="A81" s="47">
        <v>46189</v>
      </c>
      <c r="B81" s="47" t="s">
        <v>18</v>
      </c>
      <c r="C81" s="48" t="s">
        <v>125</v>
      </c>
      <c r="D81" s="48"/>
      <c r="E81" s="48" t="s">
        <v>89</v>
      </c>
      <c r="F81" s="48" t="s">
        <v>15</v>
      </c>
      <c r="G81" s="49" t="s">
        <v>181</v>
      </c>
      <c r="H81" s="50">
        <f t="shared" si="1"/>
        <v>0.33333333333333331</v>
      </c>
      <c r="I81" s="51">
        <v>0.33333333333333331</v>
      </c>
      <c r="J81" s="51">
        <v>0.66666666666666663</v>
      </c>
    </row>
    <row r="82" spans="1:10" x14ac:dyDescent="0.2">
      <c r="A82" s="22">
        <v>46190</v>
      </c>
      <c r="B82" s="22" t="s">
        <v>19</v>
      </c>
      <c r="C82" s="27" t="s">
        <v>125</v>
      </c>
      <c r="D82" s="27"/>
      <c r="E82" s="27" t="s">
        <v>62</v>
      </c>
      <c r="F82" s="27" t="s">
        <v>15</v>
      </c>
      <c r="G82" s="28" t="s">
        <v>222</v>
      </c>
      <c r="H82" s="29">
        <f t="shared" si="1"/>
        <v>6.9444444444444753E-3</v>
      </c>
      <c r="I82" s="30">
        <v>0.33333333333333331</v>
      </c>
      <c r="J82" s="30">
        <v>0.34027777777777779</v>
      </c>
    </row>
    <row r="83" spans="1:10" x14ac:dyDescent="0.2">
      <c r="A83" s="22">
        <v>46190</v>
      </c>
      <c r="B83" s="22" t="s">
        <v>19</v>
      </c>
      <c r="C83" s="27" t="s">
        <v>125</v>
      </c>
      <c r="D83" s="27"/>
      <c r="E83" s="27" t="s">
        <v>221</v>
      </c>
      <c r="F83" s="27" t="s">
        <v>15</v>
      </c>
      <c r="G83" s="28" t="s">
        <v>293</v>
      </c>
      <c r="H83" s="29">
        <f t="shared" si="1"/>
        <v>0.11805555555555552</v>
      </c>
      <c r="I83" s="30">
        <v>0.34027777777777779</v>
      </c>
      <c r="J83" s="30">
        <v>0.45833333333333331</v>
      </c>
    </row>
    <row r="84" spans="1:10" x14ac:dyDescent="0.2">
      <c r="A84" s="22">
        <v>46190</v>
      </c>
      <c r="B84" s="22" t="s">
        <v>19</v>
      </c>
      <c r="C84" s="27" t="s">
        <v>125</v>
      </c>
      <c r="D84" s="27"/>
      <c r="E84" s="27" t="s">
        <v>62</v>
      </c>
      <c r="F84" s="27" t="s">
        <v>15</v>
      </c>
      <c r="G84" s="28" t="s">
        <v>275</v>
      </c>
      <c r="H84" s="29">
        <f t="shared" si="1"/>
        <v>2.083333333333337E-2</v>
      </c>
      <c r="I84" s="30">
        <v>0.45833333333333331</v>
      </c>
      <c r="J84" s="126">
        <v>0.47916666666666669</v>
      </c>
    </row>
    <row r="85" spans="1:10" x14ac:dyDescent="0.2">
      <c r="A85" s="22">
        <v>46190</v>
      </c>
      <c r="B85" s="22" t="s">
        <v>19</v>
      </c>
      <c r="C85" s="27" t="s">
        <v>125</v>
      </c>
      <c r="D85" s="27"/>
      <c r="E85" s="27" t="s">
        <v>64</v>
      </c>
      <c r="F85" s="27" t="s">
        <v>15</v>
      </c>
      <c r="G85" s="28" t="s">
        <v>294</v>
      </c>
      <c r="H85" s="29">
        <f t="shared" si="1"/>
        <v>6.2499999999999944E-2</v>
      </c>
      <c r="I85" s="123">
        <v>0.47916666666666669</v>
      </c>
      <c r="J85" s="30">
        <v>0.54166666666666663</v>
      </c>
    </row>
    <row r="86" spans="1:10" x14ac:dyDescent="0.2">
      <c r="A86" s="22">
        <v>46190</v>
      </c>
      <c r="B86" s="22" t="s">
        <v>19</v>
      </c>
      <c r="C86" s="27" t="s">
        <v>125</v>
      </c>
      <c r="D86" s="27"/>
      <c r="E86" s="27" t="s">
        <v>64</v>
      </c>
      <c r="F86" s="27" t="s">
        <v>15</v>
      </c>
      <c r="G86" s="28" t="s">
        <v>295</v>
      </c>
      <c r="H86" s="29">
        <f t="shared" si="1"/>
        <v>8.3333333333333259E-2</v>
      </c>
      <c r="I86" s="30">
        <v>0.58333333333333337</v>
      </c>
      <c r="J86" s="30">
        <v>0.66666666666666663</v>
      </c>
    </row>
    <row r="87" spans="1:10" x14ac:dyDescent="0.2">
      <c r="A87" s="22">
        <v>46190</v>
      </c>
      <c r="B87" s="22" t="s">
        <v>19</v>
      </c>
      <c r="C87" s="27" t="s">
        <v>125</v>
      </c>
      <c r="D87" s="27"/>
      <c r="E87" s="27" t="s">
        <v>62</v>
      </c>
      <c r="F87" s="27" t="s">
        <v>15</v>
      </c>
      <c r="G87" s="23" t="s">
        <v>224</v>
      </c>
      <c r="H87" s="29">
        <f t="shared" si="1"/>
        <v>4.1666666666666741E-2</v>
      </c>
      <c r="I87" s="30">
        <v>0.66666666666666663</v>
      </c>
      <c r="J87" s="30">
        <v>0.70833333333333337</v>
      </c>
    </row>
    <row r="88" spans="1:10" x14ac:dyDescent="0.2">
      <c r="A88" s="22">
        <v>46191</v>
      </c>
      <c r="B88" s="22" t="s">
        <v>20</v>
      </c>
      <c r="C88" s="27" t="s">
        <v>125</v>
      </c>
      <c r="D88" s="27"/>
      <c r="E88" s="27" t="s">
        <v>62</v>
      </c>
      <c r="F88" s="27" t="s">
        <v>15</v>
      </c>
      <c r="G88" s="28" t="s">
        <v>222</v>
      </c>
      <c r="H88" s="29">
        <f t="shared" si="1"/>
        <v>6.2500000000000333E-3</v>
      </c>
      <c r="I88" s="30">
        <v>0.33333333333333331</v>
      </c>
      <c r="J88" s="30">
        <v>0.33958333333333335</v>
      </c>
    </row>
    <row r="89" spans="1:10" x14ac:dyDescent="0.2">
      <c r="A89" s="22">
        <v>46191</v>
      </c>
      <c r="B89" s="22" t="s">
        <v>20</v>
      </c>
      <c r="C89" s="27" t="s">
        <v>125</v>
      </c>
      <c r="D89" s="27"/>
      <c r="E89" s="27" t="s">
        <v>64</v>
      </c>
      <c r="F89" s="27" t="s">
        <v>15</v>
      </c>
      <c r="G89" s="28" t="s">
        <v>295</v>
      </c>
      <c r="H89" s="29">
        <f t="shared" si="1"/>
        <v>0.11874999999999997</v>
      </c>
      <c r="I89" s="30">
        <v>0.33958333333333335</v>
      </c>
      <c r="J89" s="30">
        <v>0.45833333333333331</v>
      </c>
    </row>
    <row r="90" spans="1:10" x14ac:dyDescent="0.2">
      <c r="A90" s="22">
        <v>46191</v>
      </c>
      <c r="B90" s="22" t="s">
        <v>20</v>
      </c>
      <c r="C90" s="27" t="s">
        <v>125</v>
      </c>
      <c r="D90" s="27"/>
      <c r="E90" s="27" t="s">
        <v>62</v>
      </c>
      <c r="F90" s="27" t="s">
        <v>15</v>
      </c>
      <c r="G90" s="28" t="s">
        <v>275</v>
      </c>
      <c r="H90" s="29">
        <f t="shared" si="1"/>
        <v>1.6666666666666663E-2</v>
      </c>
      <c r="I90" s="30">
        <v>0.45833333333333331</v>
      </c>
      <c r="J90" s="126">
        <v>0.47499999999999998</v>
      </c>
    </row>
    <row r="91" spans="1:10" x14ac:dyDescent="0.2">
      <c r="A91" s="22">
        <v>46191</v>
      </c>
      <c r="B91" s="22" t="s">
        <v>20</v>
      </c>
      <c r="C91" s="27" t="s">
        <v>125</v>
      </c>
      <c r="D91" s="27"/>
      <c r="E91" s="27" t="s">
        <v>64</v>
      </c>
      <c r="F91" s="27" t="s">
        <v>15</v>
      </c>
      <c r="G91" s="28" t="s">
        <v>295</v>
      </c>
      <c r="H91" s="29">
        <f t="shared" si="1"/>
        <v>6.6666666666666652E-2</v>
      </c>
      <c r="I91" s="123">
        <v>0.47499999999999998</v>
      </c>
      <c r="J91" s="30">
        <v>0.54166666666666663</v>
      </c>
    </row>
    <row r="92" spans="1:10" x14ac:dyDescent="0.2">
      <c r="A92" s="22">
        <v>46191</v>
      </c>
      <c r="B92" s="22" t="s">
        <v>20</v>
      </c>
      <c r="C92" s="27" t="s">
        <v>125</v>
      </c>
      <c r="D92" s="27"/>
      <c r="E92" s="27" t="s">
        <v>64</v>
      </c>
      <c r="F92" s="27" t="s">
        <v>15</v>
      </c>
      <c r="G92" s="28" t="s">
        <v>295</v>
      </c>
      <c r="H92" s="29">
        <f t="shared" si="1"/>
        <v>8.3333333333333259E-2</v>
      </c>
      <c r="I92" s="30">
        <v>0.58333333333333337</v>
      </c>
      <c r="J92" s="30">
        <v>0.66666666666666663</v>
      </c>
    </row>
    <row r="93" spans="1:10" ht="13.5" customHeight="1" x14ac:dyDescent="0.2">
      <c r="A93" s="22">
        <v>46191</v>
      </c>
      <c r="B93" s="22" t="s">
        <v>20</v>
      </c>
      <c r="C93" s="27" t="s">
        <v>125</v>
      </c>
      <c r="D93" s="27"/>
      <c r="E93" s="27" t="s">
        <v>62</v>
      </c>
      <c r="F93" s="27" t="s">
        <v>15</v>
      </c>
      <c r="G93" s="23" t="s">
        <v>224</v>
      </c>
      <c r="H93" s="29">
        <f t="shared" si="1"/>
        <v>4.1666666666666741E-2</v>
      </c>
      <c r="I93" s="30">
        <v>0.66666666666666663</v>
      </c>
      <c r="J93" s="30">
        <v>0.70833333333333337</v>
      </c>
    </row>
    <row r="94" spans="1:10" x14ac:dyDescent="0.2">
      <c r="A94" s="22">
        <v>46192</v>
      </c>
      <c r="B94" s="22" t="s">
        <v>11</v>
      </c>
      <c r="C94" s="27" t="s">
        <v>125</v>
      </c>
      <c r="D94" s="27"/>
      <c r="E94" s="27" t="s">
        <v>64</v>
      </c>
      <c r="F94" s="27" t="s">
        <v>15</v>
      </c>
      <c r="G94" s="28" t="s">
        <v>295</v>
      </c>
      <c r="H94" s="29">
        <f t="shared" si="1"/>
        <v>0.125</v>
      </c>
      <c r="I94" s="30">
        <v>0.33333333333333331</v>
      </c>
      <c r="J94" s="30">
        <v>0.45833333333333331</v>
      </c>
    </row>
    <row r="95" spans="1:10" x14ac:dyDescent="0.2">
      <c r="A95" s="22">
        <v>46192</v>
      </c>
      <c r="B95" s="22" t="s">
        <v>11</v>
      </c>
      <c r="C95" s="27" t="s">
        <v>125</v>
      </c>
      <c r="D95" s="27"/>
      <c r="E95" s="27" t="s">
        <v>62</v>
      </c>
      <c r="F95" s="27" t="s">
        <v>15</v>
      </c>
      <c r="G95" s="28" t="s">
        <v>275</v>
      </c>
      <c r="H95" s="29">
        <f t="shared" si="1"/>
        <v>2.083333333333337E-2</v>
      </c>
      <c r="I95" s="30">
        <v>0.45833333333333331</v>
      </c>
      <c r="J95" s="126">
        <v>0.47916666666666669</v>
      </c>
    </row>
    <row r="96" spans="1:10" x14ac:dyDescent="0.2">
      <c r="A96" s="22">
        <v>46192</v>
      </c>
      <c r="B96" s="22" t="s">
        <v>11</v>
      </c>
      <c r="C96" s="27" t="s">
        <v>125</v>
      </c>
      <c r="D96" s="27"/>
      <c r="E96" s="27" t="s">
        <v>64</v>
      </c>
      <c r="F96" s="27" t="s">
        <v>15</v>
      </c>
      <c r="G96" s="28" t="s">
        <v>295</v>
      </c>
      <c r="H96" s="29">
        <f t="shared" si="1"/>
        <v>6.2499999999999944E-2</v>
      </c>
      <c r="I96" s="123">
        <v>0.47916666666666669</v>
      </c>
      <c r="J96" s="30">
        <v>0.54166666666666663</v>
      </c>
    </row>
    <row r="97" spans="1:10" x14ac:dyDescent="0.2">
      <c r="A97" s="22">
        <v>46192</v>
      </c>
      <c r="B97" s="22" t="s">
        <v>11</v>
      </c>
      <c r="C97" s="27" t="s">
        <v>125</v>
      </c>
      <c r="D97" s="27"/>
      <c r="E97" s="27" t="s">
        <v>64</v>
      </c>
      <c r="F97" s="27" t="s">
        <v>15</v>
      </c>
      <c r="G97" s="28" t="s">
        <v>295</v>
      </c>
      <c r="H97" s="29">
        <f t="shared" si="1"/>
        <v>8.3333333333333259E-2</v>
      </c>
      <c r="I97" s="30">
        <v>0.58333333333333337</v>
      </c>
      <c r="J97" s="30">
        <v>0.66666666666666663</v>
      </c>
    </row>
    <row r="98" spans="1:10" x14ac:dyDescent="0.2">
      <c r="A98" s="22">
        <v>46192</v>
      </c>
      <c r="B98" s="22" t="s">
        <v>11</v>
      </c>
      <c r="C98" s="27" t="s">
        <v>125</v>
      </c>
      <c r="D98" s="27"/>
      <c r="E98" s="27" t="s">
        <v>62</v>
      </c>
      <c r="F98" s="27" t="s">
        <v>15</v>
      </c>
      <c r="G98" s="23" t="s">
        <v>224</v>
      </c>
      <c r="H98" s="29">
        <f t="shared" si="1"/>
        <v>6.597222222222221E-2</v>
      </c>
      <c r="I98" s="30">
        <v>0.66666666666666663</v>
      </c>
      <c r="J98" s="30">
        <v>0.73263888888888884</v>
      </c>
    </row>
    <row r="99" spans="1:10" x14ac:dyDescent="0.2">
      <c r="A99" s="31">
        <v>46193</v>
      </c>
      <c r="B99" s="31" t="s">
        <v>14</v>
      </c>
      <c r="C99" s="32"/>
      <c r="D99" s="32"/>
      <c r="E99" s="32"/>
      <c r="F99" s="32"/>
      <c r="G99" s="32"/>
      <c r="H99" s="34">
        <f t="shared" si="1"/>
        <v>0</v>
      </c>
      <c r="I99" s="35"/>
      <c r="J99" s="35"/>
    </row>
    <row r="100" spans="1:10" x14ac:dyDescent="0.2">
      <c r="A100" s="31">
        <v>46194</v>
      </c>
      <c r="B100" s="31" t="s">
        <v>16</v>
      </c>
      <c r="C100" s="32"/>
      <c r="D100" s="32"/>
      <c r="E100" s="32"/>
      <c r="F100" s="32"/>
      <c r="G100" s="33"/>
      <c r="H100" s="34">
        <f t="shared" si="1"/>
        <v>0</v>
      </c>
      <c r="I100" s="35"/>
      <c r="J100" s="35"/>
    </row>
    <row r="101" spans="1:10" x14ac:dyDescent="0.2">
      <c r="A101" s="22">
        <v>46195</v>
      </c>
      <c r="B101" s="22" t="s">
        <v>17</v>
      </c>
      <c r="C101" s="27" t="s">
        <v>125</v>
      </c>
      <c r="D101" s="27"/>
      <c r="E101" s="27" t="s">
        <v>62</v>
      </c>
      <c r="F101" s="27" t="s">
        <v>15</v>
      </c>
      <c r="G101" s="28" t="s">
        <v>222</v>
      </c>
      <c r="H101" s="29">
        <f t="shared" si="1"/>
        <v>4.1666666666667074E-3</v>
      </c>
      <c r="I101" s="30">
        <v>0.33333333333333331</v>
      </c>
      <c r="J101" s="30">
        <v>0.33750000000000002</v>
      </c>
    </row>
    <row r="102" spans="1:10" x14ac:dyDescent="0.2">
      <c r="A102" s="22">
        <v>46195</v>
      </c>
      <c r="B102" s="22" t="s">
        <v>17</v>
      </c>
      <c r="C102" s="27" t="s">
        <v>125</v>
      </c>
      <c r="D102" s="27"/>
      <c r="E102" s="27" t="s">
        <v>64</v>
      </c>
      <c r="F102" s="27" t="s">
        <v>15</v>
      </c>
      <c r="G102" s="28" t="s">
        <v>295</v>
      </c>
      <c r="H102" s="29">
        <f t="shared" si="1"/>
        <v>0.12083333333333329</v>
      </c>
      <c r="I102" s="30">
        <v>0.33750000000000002</v>
      </c>
      <c r="J102" s="30">
        <v>0.45833333333333331</v>
      </c>
    </row>
    <row r="103" spans="1:10" x14ac:dyDescent="0.2">
      <c r="A103" s="22">
        <v>46195</v>
      </c>
      <c r="B103" s="22" t="s">
        <v>17</v>
      </c>
      <c r="C103" s="27" t="s">
        <v>125</v>
      </c>
      <c r="D103" s="27"/>
      <c r="E103" s="27" t="s">
        <v>62</v>
      </c>
      <c r="F103" s="27" t="s">
        <v>15</v>
      </c>
      <c r="G103" s="28" t="s">
        <v>275</v>
      </c>
      <c r="H103" s="29">
        <f t="shared" si="1"/>
        <v>1.1805555555555569E-2</v>
      </c>
      <c r="I103" s="30">
        <v>0.45833333333333331</v>
      </c>
      <c r="J103" s="126">
        <v>0.47013888888888888</v>
      </c>
    </row>
    <row r="104" spans="1:10" x14ac:dyDescent="0.2">
      <c r="A104" s="22">
        <v>46195</v>
      </c>
      <c r="B104" s="22" t="s">
        <v>17</v>
      </c>
      <c r="C104" s="27" t="s">
        <v>125</v>
      </c>
      <c r="D104" s="27"/>
      <c r="E104" s="27" t="s">
        <v>64</v>
      </c>
      <c r="F104" s="27" t="s">
        <v>15</v>
      </c>
      <c r="G104" s="28" t="s">
        <v>295</v>
      </c>
      <c r="H104" s="29">
        <f t="shared" si="1"/>
        <v>7.1527777777777746E-2</v>
      </c>
      <c r="I104" s="123">
        <v>0.47013888888888888</v>
      </c>
      <c r="J104" s="30">
        <v>0.54166666666666663</v>
      </c>
    </row>
    <row r="105" spans="1:10" x14ac:dyDescent="0.2">
      <c r="A105" s="22">
        <v>46195</v>
      </c>
      <c r="B105" s="22" t="s">
        <v>17</v>
      </c>
      <c r="C105" s="27" t="s">
        <v>125</v>
      </c>
      <c r="D105" s="27"/>
      <c r="E105" s="27" t="s">
        <v>64</v>
      </c>
      <c r="F105" s="27" t="s">
        <v>15</v>
      </c>
      <c r="G105" s="28" t="s">
        <v>295</v>
      </c>
      <c r="H105" s="29">
        <f t="shared" si="1"/>
        <v>6.25E-2</v>
      </c>
      <c r="I105" s="30">
        <v>0.58333333333333337</v>
      </c>
      <c r="J105" s="30">
        <v>0.64583333333333337</v>
      </c>
    </row>
    <row r="106" spans="1:10" x14ac:dyDescent="0.2">
      <c r="A106" s="22">
        <v>46195</v>
      </c>
      <c r="B106" s="22" t="s">
        <v>17</v>
      </c>
      <c r="C106" s="27" t="s">
        <v>125</v>
      </c>
      <c r="D106" s="27"/>
      <c r="E106" s="27" t="s">
        <v>221</v>
      </c>
      <c r="F106" s="27" t="s">
        <v>15</v>
      </c>
      <c r="G106" s="28" t="s">
        <v>297</v>
      </c>
      <c r="H106" s="29">
        <f>J106-I106</f>
        <v>2.0833333333333259E-2</v>
      </c>
      <c r="I106" s="30">
        <v>0.64583333333333337</v>
      </c>
      <c r="J106" s="30">
        <v>0.66666666666666663</v>
      </c>
    </row>
    <row r="107" spans="1:10" x14ac:dyDescent="0.2">
      <c r="A107" s="22">
        <v>46195</v>
      </c>
      <c r="B107" s="22" t="s">
        <v>17</v>
      </c>
      <c r="C107" s="27" t="s">
        <v>125</v>
      </c>
      <c r="D107" s="27"/>
      <c r="E107" s="27" t="s">
        <v>62</v>
      </c>
      <c r="F107" s="27" t="s">
        <v>15</v>
      </c>
      <c r="G107" s="23" t="s">
        <v>224</v>
      </c>
      <c r="H107" s="29">
        <f>J107-I107</f>
        <v>4.1666666666666741E-2</v>
      </c>
      <c r="I107" s="30">
        <v>0.66666666666666663</v>
      </c>
      <c r="J107" s="30">
        <v>0.70833333333333337</v>
      </c>
    </row>
    <row r="108" spans="1:10" x14ac:dyDescent="0.2">
      <c r="A108" s="22">
        <v>46196</v>
      </c>
      <c r="B108" s="22" t="s">
        <v>18</v>
      </c>
      <c r="C108" s="27" t="s">
        <v>125</v>
      </c>
      <c r="D108" s="27"/>
      <c r="E108" s="27" t="s">
        <v>62</v>
      </c>
      <c r="F108" s="27" t="s">
        <v>15</v>
      </c>
      <c r="G108" s="28" t="s">
        <v>222</v>
      </c>
      <c r="H108" s="29">
        <f t="shared" si="1"/>
        <v>7.6388888888889173E-3</v>
      </c>
      <c r="I108" s="30">
        <v>0.33333333333333331</v>
      </c>
      <c r="J108" s="30">
        <v>0.34097222222222223</v>
      </c>
    </row>
    <row r="109" spans="1:10" x14ac:dyDescent="0.2">
      <c r="A109" s="22">
        <v>46196</v>
      </c>
      <c r="B109" s="22" t="s">
        <v>18</v>
      </c>
      <c r="C109" s="27" t="s">
        <v>125</v>
      </c>
      <c r="D109" s="27"/>
      <c r="E109" s="27" t="s">
        <v>64</v>
      </c>
      <c r="F109" s="27" t="s">
        <v>15</v>
      </c>
      <c r="G109" s="28" t="s">
        <v>295</v>
      </c>
      <c r="H109" s="29">
        <f t="shared" si="1"/>
        <v>0.11736111111111108</v>
      </c>
      <c r="I109" s="30">
        <v>0.34097222222222223</v>
      </c>
      <c r="J109" s="30">
        <v>0.45833333333333331</v>
      </c>
    </row>
    <row r="110" spans="1:10" x14ac:dyDescent="0.2">
      <c r="A110" s="22">
        <v>46196</v>
      </c>
      <c r="B110" s="22" t="s">
        <v>18</v>
      </c>
      <c r="C110" s="27" t="s">
        <v>125</v>
      </c>
      <c r="D110" s="27"/>
      <c r="E110" s="27" t="s">
        <v>62</v>
      </c>
      <c r="F110" s="27" t="s">
        <v>15</v>
      </c>
      <c r="G110" s="28" t="s">
        <v>275</v>
      </c>
      <c r="H110" s="29">
        <f t="shared" si="1"/>
        <v>2.7083333333333348E-2</v>
      </c>
      <c r="I110" s="30">
        <v>0.45833333333333331</v>
      </c>
      <c r="J110" s="126">
        <v>0.48541666666666666</v>
      </c>
    </row>
    <row r="111" spans="1:10" x14ac:dyDescent="0.2">
      <c r="A111" s="22">
        <v>46196</v>
      </c>
      <c r="B111" s="22" t="s">
        <v>18</v>
      </c>
      <c r="C111" s="27" t="s">
        <v>125</v>
      </c>
      <c r="D111" s="27"/>
      <c r="E111" s="27" t="s">
        <v>64</v>
      </c>
      <c r="F111" s="27" t="s">
        <v>15</v>
      </c>
      <c r="G111" s="28" t="s">
        <v>295</v>
      </c>
      <c r="H111" s="29">
        <f t="shared" si="1"/>
        <v>5.6249999999999967E-2</v>
      </c>
      <c r="I111" s="123">
        <v>0.48541666666666666</v>
      </c>
      <c r="J111" s="30">
        <v>0.54166666666666663</v>
      </c>
    </row>
    <row r="112" spans="1:10" x14ac:dyDescent="0.2">
      <c r="A112" s="22">
        <v>46196</v>
      </c>
      <c r="B112" s="22" t="s">
        <v>18</v>
      </c>
      <c r="C112" s="27" t="s">
        <v>125</v>
      </c>
      <c r="D112" s="27"/>
      <c r="E112" s="27" t="s">
        <v>221</v>
      </c>
      <c r="F112" s="27" t="s">
        <v>15</v>
      </c>
      <c r="G112" s="28" t="s">
        <v>298</v>
      </c>
      <c r="H112" s="29">
        <f t="shared" si="1"/>
        <v>8.3333333333333259E-2</v>
      </c>
      <c r="I112" s="30">
        <v>0.58333333333333337</v>
      </c>
      <c r="J112" s="30">
        <v>0.66666666666666663</v>
      </c>
    </row>
    <row r="113" spans="1:10" x14ac:dyDescent="0.2">
      <c r="A113" s="22">
        <v>46196</v>
      </c>
      <c r="B113" s="22" t="s">
        <v>18</v>
      </c>
      <c r="C113" s="27" t="s">
        <v>125</v>
      </c>
      <c r="D113" s="27"/>
      <c r="E113" s="27" t="s">
        <v>62</v>
      </c>
      <c r="F113" s="27" t="s">
        <v>15</v>
      </c>
      <c r="G113" s="27" t="s">
        <v>224</v>
      </c>
      <c r="H113" s="29">
        <f t="shared" si="1"/>
        <v>5.555555555555558E-2</v>
      </c>
      <c r="I113" s="30">
        <v>0.66666666666666663</v>
      </c>
      <c r="J113" s="30">
        <v>0.72222222222222221</v>
      </c>
    </row>
    <row r="114" spans="1:10" x14ac:dyDescent="0.2">
      <c r="A114" s="22">
        <v>46197</v>
      </c>
      <c r="B114" s="22" t="s">
        <v>19</v>
      </c>
      <c r="C114" s="27" t="s">
        <v>125</v>
      </c>
      <c r="D114" s="27"/>
      <c r="E114" s="27" t="s">
        <v>62</v>
      </c>
      <c r="F114" s="27" t="s">
        <v>15</v>
      </c>
      <c r="G114" s="28" t="s">
        <v>222</v>
      </c>
      <c r="H114" s="29">
        <f t="shared" ref="H114:H131" si="3">J114-I114</f>
        <v>6.9444444444444753E-3</v>
      </c>
      <c r="I114" s="30">
        <v>0.33333333333333331</v>
      </c>
      <c r="J114" s="30">
        <v>0.34027777777777779</v>
      </c>
    </row>
    <row r="115" spans="1:10" x14ac:dyDescent="0.2">
      <c r="A115" s="22">
        <v>46197</v>
      </c>
      <c r="B115" s="22" t="s">
        <v>19</v>
      </c>
      <c r="C115" s="27" t="s">
        <v>125</v>
      </c>
      <c r="D115" s="27"/>
      <c r="E115" s="27" t="s">
        <v>64</v>
      </c>
      <c r="F115" s="27" t="s">
        <v>15</v>
      </c>
      <c r="G115" s="28" t="s">
        <v>295</v>
      </c>
      <c r="H115" s="29">
        <f t="shared" si="3"/>
        <v>0.20138888888888884</v>
      </c>
      <c r="I115" s="30">
        <v>0.34027777777777779</v>
      </c>
      <c r="J115" s="30">
        <v>0.54166666666666663</v>
      </c>
    </row>
    <row r="116" spans="1:10" x14ac:dyDescent="0.2">
      <c r="A116" s="22">
        <v>46197</v>
      </c>
      <c r="B116" s="22" t="s">
        <v>19</v>
      </c>
      <c r="C116" s="27" t="s">
        <v>125</v>
      </c>
      <c r="D116" s="27"/>
      <c r="E116" s="27" t="s">
        <v>64</v>
      </c>
      <c r="F116" s="27" t="s">
        <v>15</v>
      </c>
      <c r="G116" s="28" t="s">
        <v>295</v>
      </c>
      <c r="H116" s="29">
        <f t="shared" si="3"/>
        <v>6.25E-2</v>
      </c>
      <c r="I116" s="30">
        <v>0.58333333333333337</v>
      </c>
      <c r="J116" s="30">
        <v>0.64583333333333337</v>
      </c>
    </row>
    <row r="117" spans="1:10" x14ac:dyDescent="0.2">
      <c r="A117" s="22">
        <v>46197</v>
      </c>
      <c r="B117" s="22" t="s">
        <v>19</v>
      </c>
      <c r="C117" s="27" t="s">
        <v>125</v>
      </c>
      <c r="D117" s="27"/>
      <c r="E117" s="27" t="s">
        <v>221</v>
      </c>
      <c r="F117" s="27" t="s">
        <v>15</v>
      </c>
      <c r="G117" s="28" t="s">
        <v>298</v>
      </c>
      <c r="H117" s="29">
        <f t="shared" si="3"/>
        <v>2.0833333333333259E-2</v>
      </c>
      <c r="I117" s="30">
        <v>0.64583333333333337</v>
      </c>
      <c r="J117" s="30">
        <v>0.66666666666666663</v>
      </c>
    </row>
    <row r="118" spans="1:10" x14ac:dyDescent="0.2">
      <c r="A118" s="22">
        <v>46197</v>
      </c>
      <c r="B118" s="22" t="s">
        <v>19</v>
      </c>
      <c r="C118" s="27" t="s">
        <v>125</v>
      </c>
      <c r="D118" s="27"/>
      <c r="E118" s="27" t="s">
        <v>62</v>
      </c>
      <c r="F118" s="27" t="s">
        <v>15</v>
      </c>
      <c r="G118" s="27" t="s">
        <v>224</v>
      </c>
      <c r="H118" s="29">
        <f t="shared" si="3"/>
        <v>4.1666666666666741E-2</v>
      </c>
      <c r="I118" s="30">
        <v>0.66666666666666663</v>
      </c>
      <c r="J118" s="30">
        <v>0.70833333333333337</v>
      </c>
    </row>
    <row r="119" spans="1:10" x14ac:dyDescent="0.2">
      <c r="A119" s="22">
        <v>46198</v>
      </c>
      <c r="B119" s="22" t="s">
        <v>20</v>
      </c>
      <c r="C119" s="27" t="s">
        <v>125</v>
      </c>
      <c r="D119" s="27"/>
      <c r="E119" s="27" t="s">
        <v>62</v>
      </c>
      <c r="F119" s="27" t="s">
        <v>15</v>
      </c>
      <c r="G119" s="28" t="s">
        <v>222</v>
      </c>
      <c r="H119" s="29">
        <f t="shared" si="3"/>
        <v>6.2500000000000333E-3</v>
      </c>
      <c r="I119" s="30">
        <v>0.33333333333333331</v>
      </c>
      <c r="J119" s="30">
        <v>0.33958333333333335</v>
      </c>
    </row>
    <row r="120" spans="1:10" x14ac:dyDescent="0.2">
      <c r="A120" s="22">
        <v>46198</v>
      </c>
      <c r="B120" s="22" t="s">
        <v>20</v>
      </c>
      <c r="C120" s="27" t="s">
        <v>125</v>
      </c>
      <c r="D120" s="27"/>
      <c r="E120" s="27" t="s">
        <v>64</v>
      </c>
      <c r="F120" s="27" t="s">
        <v>15</v>
      </c>
      <c r="G120" s="28" t="s">
        <v>295</v>
      </c>
      <c r="H120" s="29">
        <f t="shared" si="3"/>
        <v>0.11874999999999997</v>
      </c>
      <c r="I120" s="30">
        <v>0.33958333333333335</v>
      </c>
      <c r="J120" s="30">
        <v>0.45833333333333331</v>
      </c>
    </row>
    <row r="121" spans="1:10" x14ac:dyDescent="0.2">
      <c r="A121" s="22">
        <v>46198</v>
      </c>
      <c r="B121" s="22" t="s">
        <v>20</v>
      </c>
      <c r="C121" s="27" t="s">
        <v>125</v>
      </c>
      <c r="D121" s="27"/>
      <c r="E121" s="27" t="s">
        <v>62</v>
      </c>
      <c r="F121" s="27" t="s">
        <v>15</v>
      </c>
      <c r="G121" s="28" t="s">
        <v>275</v>
      </c>
      <c r="H121" s="29">
        <f t="shared" si="3"/>
        <v>2.9861111111111116E-2</v>
      </c>
      <c r="I121" s="30">
        <v>0.45833333333333331</v>
      </c>
      <c r="J121" s="126">
        <v>0.48819444444444443</v>
      </c>
    </row>
    <row r="122" spans="1:10" x14ac:dyDescent="0.2">
      <c r="A122" s="22">
        <v>46198</v>
      </c>
      <c r="B122" s="22" t="s">
        <v>20</v>
      </c>
      <c r="C122" s="27" t="s">
        <v>125</v>
      </c>
      <c r="D122" s="27"/>
      <c r="E122" s="27" t="s">
        <v>64</v>
      </c>
      <c r="F122" s="27" t="s">
        <v>15</v>
      </c>
      <c r="G122" s="28" t="s">
        <v>295</v>
      </c>
      <c r="H122" s="29">
        <f t="shared" si="3"/>
        <v>5.3472222222222199E-2</v>
      </c>
      <c r="I122" s="123">
        <v>0.48819444444444443</v>
      </c>
      <c r="J122" s="30">
        <v>0.54166666666666663</v>
      </c>
    </row>
    <row r="123" spans="1:10" x14ac:dyDescent="0.2">
      <c r="A123" s="22">
        <v>46198</v>
      </c>
      <c r="B123" s="22" t="s">
        <v>20</v>
      </c>
      <c r="C123" s="27" t="s">
        <v>125</v>
      </c>
      <c r="D123" s="27"/>
      <c r="E123" s="27" t="s">
        <v>64</v>
      </c>
      <c r="F123" s="27" t="s">
        <v>15</v>
      </c>
      <c r="G123" s="28" t="s">
        <v>295</v>
      </c>
      <c r="H123" s="29">
        <f t="shared" si="3"/>
        <v>6.25E-2</v>
      </c>
      <c r="I123" s="30">
        <v>0.58333333333333337</v>
      </c>
      <c r="J123" s="30">
        <v>0.64583333333333337</v>
      </c>
    </row>
    <row r="124" spans="1:10" x14ac:dyDescent="0.2">
      <c r="A124" s="22">
        <v>46198</v>
      </c>
      <c r="B124" s="22" t="s">
        <v>20</v>
      </c>
      <c r="C124" s="27" t="s">
        <v>125</v>
      </c>
      <c r="D124" s="27"/>
      <c r="E124" s="27" t="s">
        <v>221</v>
      </c>
      <c r="F124" s="27" t="s">
        <v>15</v>
      </c>
      <c r="G124" s="28" t="s">
        <v>298</v>
      </c>
      <c r="H124" s="29">
        <f t="shared" si="3"/>
        <v>2.0833333333333259E-2</v>
      </c>
      <c r="I124" s="30">
        <v>0.64583333333333337</v>
      </c>
      <c r="J124" s="30">
        <v>0.66666666666666663</v>
      </c>
    </row>
    <row r="125" spans="1:10" x14ac:dyDescent="0.2">
      <c r="A125" s="22">
        <v>46198</v>
      </c>
      <c r="B125" s="22" t="s">
        <v>20</v>
      </c>
      <c r="C125" s="27" t="s">
        <v>125</v>
      </c>
      <c r="D125" s="27"/>
      <c r="E125" s="27" t="s">
        <v>62</v>
      </c>
      <c r="F125" s="27" t="s">
        <v>15</v>
      </c>
      <c r="G125" s="27" t="s">
        <v>224</v>
      </c>
      <c r="H125" s="29">
        <f t="shared" si="3"/>
        <v>4.1666666666666741E-2</v>
      </c>
      <c r="I125" s="30">
        <v>0.66666666666666663</v>
      </c>
      <c r="J125" s="30">
        <v>0.70833333333333337</v>
      </c>
    </row>
    <row r="126" spans="1:10" x14ac:dyDescent="0.2">
      <c r="A126" s="22">
        <v>46199</v>
      </c>
      <c r="B126" s="22" t="s">
        <v>11</v>
      </c>
      <c r="C126" s="27" t="s">
        <v>125</v>
      </c>
      <c r="D126" s="27"/>
      <c r="E126" s="27" t="s">
        <v>62</v>
      </c>
      <c r="F126" s="27" t="s">
        <v>15</v>
      </c>
      <c r="G126" s="28" t="s">
        <v>222</v>
      </c>
      <c r="H126" s="29">
        <f t="shared" si="3"/>
        <v>1.3888888888888895E-2</v>
      </c>
      <c r="I126" s="30">
        <v>0.33333333333333331</v>
      </c>
      <c r="J126" s="30">
        <v>0.34722222222222221</v>
      </c>
    </row>
    <row r="127" spans="1:10" x14ac:dyDescent="0.2">
      <c r="A127" s="22">
        <v>46199</v>
      </c>
      <c r="B127" s="22" t="s">
        <v>11</v>
      </c>
      <c r="C127" s="27" t="s">
        <v>125</v>
      </c>
      <c r="D127" s="27"/>
      <c r="E127" s="27" t="s">
        <v>64</v>
      </c>
      <c r="F127" s="27" t="s">
        <v>15</v>
      </c>
      <c r="G127" s="28" t="s">
        <v>295</v>
      </c>
      <c r="H127" s="29">
        <f t="shared" si="3"/>
        <v>0.1111111111111111</v>
      </c>
      <c r="I127" s="30">
        <v>0.34722222222222221</v>
      </c>
      <c r="J127" s="30">
        <v>0.45833333333333331</v>
      </c>
    </row>
    <row r="128" spans="1:10" x14ac:dyDescent="0.2">
      <c r="A128" s="22">
        <v>46199</v>
      </c>
      <c r="B128" s="22" t="s">
        <v>11</v>
      </c>
      <c r="C128" s="27" t="s">
        <v>125</v>
      </c>
      <c r="D128" s="27"/>
      <c r="E128" s="27" t="s">
        <v>62</v>
      </c>
      <c r="F128" s="27" t="s">
        <v>15</v>
      </c>
      <c r="G128" s="28" t="s">
        <v>275</v>
      </c>
      <c r="H128" s="29">
        <f t="shared" si="3"/>
        <v>4.3055555555555569E-2</v>
      </c>
      <c r="I128" s="30">
        <v>0.45833333333333331</v>
      </c>
      <c r="J128" s="126">
        <v>0.50138888888888888</v>
      </c>
    </row>
    <row r="129" spans="1:10" x14ac:dyDescent="0.2">
      <c r="A129" s="22">
        <v>46199</v>
      </c>
      <c r="B129" s="22" t="s">
        <v>11</v>
      </c>
      <c r="C129" s="27" t="s">
        <v>125</v>
      </c>
      <c r="D129" s="27"/>
      <c r="E129" s="27" t="s">
        <v>64</v>
      </c>
      <c r="F129" s="27" t="s">
        <v>15</v>
      </c>
      <c r="G129" s="28" t="s">
        <v>295</v>
      </c>
      <c r="H129" s="29">
        <f t="shared" si="3"/>
        <v>4.0277777777777746E-2</v>
      </c>
      <c r="I129" s="126">
        <v>0.50138888888888888</v>
      </c>
      <c r="J129" s="30">
        <v>0.54166666666666663</v>
      </c>
    </row>
    <row r="130" spans="1:10" x14ac:dyDescent="0.2">
      <c r="A130" s="22">
        <v>46199</v>
      </c>
      <c r="B130" s="22" t="s">
        <v>11</v>
      </c>
      <c r="C130" s="27" t="s">
        <v>125</v>
      </c>
      <c r="D130" s="27"/>
      <c r="E130" s="27" t="s">
        <v>64</v>
      </c>
      <c r="F130" s="27" t="s">
        <v>15</v>
      </c>
      <c r="G130" s="28" t="s">
        <v>295</v>
      </c>
      <c r="H130" s="29">
        <f t="shared" si="3"/>
        <v>6.25E-2</v>
      </c>
      <c r="I130" s="30">
        <v>0.58333333333333337</v>
      </c>
      <c r="J130" s="30">
        <v>0.64583333333333337</v>
      </c>
    </row>
    <row r="131" spans="1:10" x14ac:dyDescent="0.2">
      <c r="A131" s="22">
        <v>46199</v>
      </c>
      <c r="B131" s="22" t="s">
        <v>11</v>
      </c>
      <c r="C131" s="27" t="s">
        <v>125</v>
      </c>
      <c r="D131" s="27"/>
      <c r="E131" s="27" t="s">
        <v>221</v>
      </c>
      <c r="F131" s="27" t="s">
        <v>15</v>
      </c>
      <c r="G131" s="28" t="s">
        <v>298</v>
      </c>
      <c r="H131" s="29">
        <f t="shared" si="3"/>
        <v>2.0833333333333259E-2</v>
      </c>
      <c r="I131" s="30">
        <v>0.64583333333333337</v>
      </c>
      <c r="J131" s="30">
        <v>0.66666666666666663</v>
      </c>
    </row>
    <row r="132" spans="1:10" x14ac:dyDescent="0.2">
      <c r="A132" s="22">
        <v>46199</v>
      </c>
      <c r="B132" s="22" t="s">
        <v>11</v>
      </c>
      <c r="C132" s="27" t="s">
        <v>125</v>
      </c>
      <c r="D132" s="27"/>
      <c r="E132" s="27" t="s">
        <v>62</v>
      </c>
      <c r="F132" s="27" t="s">
        <v>15</v>
      </c>
      <c r="G132" s="27" t="s">
        <v>224</v>
      </c>
      <c r="H132" s="29">
        <f t="shared" si="1"/>
        <v>5.555555555555558E-2</v>
      </c>
      <c r="I132" s="30">
        <v>0.66666666666666663</v>
      </c>
      <c r="J132" s="30">
        <v>0.72222222222222221</v>
      </c>
    </row>
    <row r="133" spans="1:10" x14ac:dyDescent="0.2">
      <c r="A133" s="31">
        <v>46200</v>
      </c>
      <c r="B133" s="31" t="s">
        <v>14</v>
      </c>
      <c r="C133" s="32"/>
      <c r="D133" s="32"/>
      <c r="E133" s="32"/>
      <c r="F133" s="32"/>
      <c r="G133" s="33"/>
      <c r="H133" s="34">
        <f t="shared" si="1"/>
        <v>0</v>
      </c>
      <c r="I133" s="35"/>
      <c r="J133" s="35"/>
    </row>
    <row r="134" spans="1:10" x14ac:dyDescent="0.2">
      <c r="A134" s="31">
        <v>46201</v>
      </c>
      <c r="B134" s="31" t="s">
        <v>16</v>
      </c>
      <c r="C134" s="32"/>
      <c r="D134" s="32"/>
      <c r="E134" s="32"/>
      <c r="F134" s="32"/>
      <c r="G134" s="33"/>
      <c r="H134" s="34">
        <f t="shared" ref="H134:H147" si="4">J134-I134</f>
        <v>0</v>
      </c>
      <c r="I134" s="35"/>
      <c r="J134" s="35"/>
    </row>
    <row r="135" spans="1:10" x14ac:dyDescent="0.2">
      <c r="A135" s="22">
        <v>46202</v>
      </c>
      <c r="B135" s="22" t="s">
        <v>17</v>
      </c>
      <c r="C135" s="27" t="s">
        <v>125</v>
      </c>
      <c r="D135" s="27"/>
      <c r="E135" s="27" t="s">
        <v>62</v>
      </c>
      <c r="F135" s="27" t="s">
        <v>15</v>
      </c>
      <c r="G135" s="28" t="s">
        <v>222</v>
      </c>
      <c r="H135" s="29">
        <f t="shared" si="4"/>
        <v>2.7777777777777679E-3</v>
      </c>
      <c r="I135" s="30">
        <v>0.33124999999999999</v>
      </c>
      <c r="J135" s="30">
        <v>0.33402777777777776</v>
      </c>
    </row>
    <row r="136" spans="1:10" x14ac:dyDescent="0.2">
      <c r="A136" s="22">
        <v>46202</v>
      </c>
      <c r="B136" s="22" t="s">
        <v>17</v>
      </c>
      <c r="C136" s="27" t="s">
        <v>125</v>
      </c>
      <c r="D136" s="27"/>
      <c r="E136" s="27" t="s">
        <v>64</v>
      </c>
      <c r="F136" s="27" t="s">
        <v>15</v>
      </c>
      <c r="G136" s="28" t="s">
        <v>295</v>
      </c>
      <c r="H136" s="29">
        <f>J136-I136</f>
        <v>0.12430555555555556</v>
      </c>
      <c r="I136" s="30">
        <v>0.33402777777777776</v>
      </c>
      <c r="J136" s="30">
        <v>0.45833333333333331</v>
      </c>
    </row>
    <row r="137" spans="1:10" x14ac:dyDescent="0.2">
      <c r="A137" s="22">
        <v>46202</v>
      </c>
      <c r="B137" s="22" t="s">
        <v>17</v>
      </c>
      <c r="C137" s="27" t="s">
        <v>125</v>
      </c>
      <c r="D137" s="27"/>
      <c r="E137" s="27" t="s">
        <v>62</v>
      </c>
      <c r="F137" s="27" t="s">
        <v>15</v>
      </c>
      <c r="G137" s="28" t="s">
        <v>275</v>
      </c>
      <c r="H137" s="29">
        <f>J137-I137</f>
        <v>6.9444444444444753E-3</v>
      </c>
      <c r="I137" s="30">
        <v>0.45833333333333331</v>
      </c>
      <c r="J137" s="30">
        <v>0.46527777777777779</v>
      </c>
    </row>
    <row r="138" spans="1:10" x14ac:dyDescent="0.2">
      <c r="A138" s="22">
        <v>46202</v>
      </c>
      <c r="B138" s="22" t="s">
        <v>17</v>
      </c>
      <c r="C138" s="27" t="s">
        <v>125</v>
      </c>
      <c r="D138" s="27"/>
      <c r="E138" s="27" t="s">
        <v>64</v>
      </c>
      <c r="F138" s="27" t="s">
        <v>15</v>
      </c>
      <c r="G138" s="28" t="s">
        <v>295</v>
      </c>
      <c r="H138" s="29">
        <f t="shared" si="4"/>
        <v>7.638888888888884E-2</v>
      </c>
      <c r="I138" s="30">
        <v>0.46527777777777779</v>
      </c>
      <c r="J138" s="30">
        <v>0.54166666666666663</v>
      </c>
    </row>
    <row r="139" spans="1:10" x14ac:dyDescent="0.2">
      <c r="A139" s="22">
        <v>46202</v>
      </c>
      <c r="B139" s="22" t="s">
        <v>17</v>
      </c>
      <c r="C139" s="27" t="s">
        <v>125</v>
      </c>
      <c r="D139" s="27"/>
      <c r="E139" s="27" t="s">
        <v>64</v>
      </c>
      <c r="F139" s="27" t="s">
        <v>15</v>
      </c>
      <c r="G139" s="28" t="s">
        <v>295</v>
      </c>
      <c r="H139" s="29">
        <f t="shared" si="4"/>
        <v>8.3333333333333259E-2</v>
      </c>
      <c r="I139" s="30">
        <v>0.58333333333333337</v>
      </c>
      <c r="J139" s="30">
        <v>0.66666666666666663</v>
      </c>
    </row>
    <row r="140" spans="1:10" x14ac:dyDescent="0.2">
      <c r="A140" s="22">
        <v>46202</v>
      </c>
      <c r="B140" s="22" t="s">
        <v>17</v>
      </c>
      <c r="C140" s="27" t="s">
        <v>125</v>
      </c>
      <c r="D140" s="27"/>
      <c r="E140" s="27" t="s">
        <v>62</v>
      </c>
      <c r="F140" s="27" t="s">
        <v>15</v>
      </c>
      <c r="G140" s="27" t="s">
        <v>224</v>
      </c>
      <c r="H140" s="29">
        <f t="shared" si="4"/>
        <v>4.1666666666666741E-2</v>
      </c>
      <c r="I140" s="30">
        <v>0.66666666666666663</v>
      </c>
      <c r="J140" s="30">
        <v>0.70833333333333337</v>
      </c>
    </row>
    <row r="141" spans="1:10" x14ac:dyDescent="0.2">
      <c r="A141" s="22">
        <v>46202</v>
      </c>
      <c r="B141" s="22" t="s">
        <v>17</v>
      </c>
      <c r="C141" s="27" t="s">
        <v>125</v>
      </c>
      <c r="D141" s="27"/>
      <c r="E141" s="27" t="s">
        <v>64</v>
      </c>
      <c r="F141" s="27" t="s">
        <v>15</v>
      </c>
      <c r="G141" s="28" t="s">
        <v>295</v>
      </c>
      <c r="H141" s="29">
        <f t="shared" si="4"/>
        <v>1.8055555555555491E-2</v>
      </c>
      <c r="I141" s="30">
        <v>0.70833333333333337</v>
      </c>
      <c r="J141" s="30">
        <v>0.72638888888888886</v>
      </c>
    </row>
    <row r="142" spans="1:10" x14ac:dyDescent="0.2">
      <c r="A142" s="22">
        <v>46203</v>
      </c>
      <c r="B142" s="22" t="s">
        <v>18</v>
      </c>
      <c r="C142" s="27" t="s">
        <v>125</v>
      </c>
      <c r="D142" s="27"/>
      <c r="E142" s="27" t="s">
        <v>62</v>
      </c>
      <c r="F142" s="27" t="s">
        <v>15</v>
      </c>
      <c r="G142" s="28" t="s">
        <v>222</v>
      </c>
      <c r="H142" s="29">
        <f t="shared" si="4"/>
        <v>1.9444444444444486E-2</v>
      </c>
      <c r="I142" s="30">
        <v>0.33333333333333331</v>
      </c>
      <c r="J142" s="30">
        <v>0.3527777777777778</v>
      </c>
    </row>
    <row r="143" spans="1:10" x14ac:dyDescent="0.2">
      <c r="A143" s="22">
        <v>46203</v>
      </c>
      <c r="B143" s="22" t="s">
        <v>18</v>
      </c>
      <c r="C143" s="27" t="s">
        <v>125</v>
      </c>
      <c r="D143" s="27"/>
      <c r="E143" s="27" t="s">
        <v>64</v>
      </c>
      <c r="F143" s="27" t="s">
        <v>15</v>
      </c>
      <c r="G143" s="28" t="s">
        <v>295</v>
      </c>
      <c r="H143" s="29">
        <f t="shared" si="4"/>
        <v>0.10555555555555551</v>
      </c>
      <c r="I143" s="30">
        <v>0.3527777777777778</v>
      </c>
      <c r="J143" s="30">
        <v>0.45833333333333331</v>
      </c>
    </row>
    <row r="144" spans="1:10" x14ac:dyDescent="0.2">
      <c r="A144" s="22">
        <v>46203</v>
      </c>
      <c r="B144" s="22" t="s">
        <v>18</v>
      </c>
      <c r="C144" s="27" t="s">
        <v>125</v>
      </c>
      <c r="D144" s="27"/>
      <c r="E144" s="27" t="s">
        <v>62</v>
      </c>
      <c r="F144" s="27" t="s">
        <v>15</v>
      </c>
      <c r="G144" s="28" t="s">
        <v>275</v>
      </c>
      <c r="H144" s="29">
        <f t="shared" si="4"/>
        <v>3.6805555555555591E-2</v>
      </c>
      <c r="I144" s="30">
        <v>0.45833333333333331</v>
      </c>
      <c r="J144" s="30">
        <v>0.49513888888888891</v>
      </c>
    </row>
    <row r="145" spans="1:10" x14ac:dyDescent="0.2">
      <c r="A145" s="22">
        <v>46203</v>
      </c>
      <c r="B145" s="22" t="s">
        <v>18</v>
      </c>
      <c r="C145" s="27" t="s">
        <v>125</v>
      </c>
      <c r="D145" s="27"/>
      <c r="E145" s="27" t="s">
        <v>64</v>
      </c>
      <c r="F145" s="27" t="s">
        <v>15</v>
      </c>
      <c r="G145" s="28" t="s">
        <v>295</v>
      </c>
      <c r="H145" s="29">
        <f t="shared" si="4"/>
        <v>4.6527777777777724E-2</v>
      </c>
      <c r="I145" s="30">
        <v>0.49513888888888891</v>
      </c>
      <c r="J145" s="30">
        <v>0.54166666666666663</v>
      </c>
    </row>
    <row r="146" spans="1:10" x14ac:dyDescent="0.2">
      <c r="A146" s="22">
        <v>46203</v>
      </c>
      <c r="B146" s="22" t="s">
        <v>18</v>
      </c>
      <c r="C146" s="27" t="s">
        <v>125</v>
      </c>
      <c r="D146" s="27"/>
      <c r="E146" s="27" t="s">
        <v>64</v>
      </c>
      <c r="F146" s="27" t="s">
        <v>15</v>
      </c>
      <c r="G146" s="28" t="s">
        <v>295</v>
      </c>
      <c r="H146" s="29">
        <f t="shared" si="4"/>
        <v>8.3333333333333259E-2</v>
      </c>
      <c r="I146" s="30">
        <v>0.58333333333333337</v>
      </c>
      <c r="J146" s="30">
        <v>0.66666666666666663</v>
      </c>
    </row>
    <row r="147" spans="1:10" ht="13.5" thickBot="1" x14ac:dyDescent="0.25">
      <c r="A147" s="22">
        <v>46203</v>
      </c>
      <c r="B147" s="22" t="s">
        <v>18</v>
      </c>
      <c r="C147" s="27" t="s">
        <v>125</v>
      </c>
      <c r="D147" s="27"/>
      <c r="E147" s="27" t="s">
        <v>62</v>
      </c>
      <c r="F147" s="27" t="s">
        <v>15</v>
      </c>
      <c r="G147" s="27" t="s">
        <v>224</v>
      </c>
      <c r="H147" s="29">
        <f t="shared" si="4"/>
        <v>4.1666666666666741E-2</v>
      </c>
      <c r="I147" s="30">
        <v>0.66666666666666663</v>
      </c>
      <c r="J147" s="30">
        <v>0.70833333333333337</v>
      </c>
    </row>
    <row r="148" spans="1:10" ht="14.1" customHeight="1" thickBot="1" x14ac:dyDescent="0.25">
      <c r="A148" s="45"/>
      <c r="B148" s="45"/>
      <c r="C148" s="45"/>
      <c r="D148" s="45"/>
      <c r="E148" s="1"/>
      <c r="F148" s="1"/>
      <c r="G148" s="45"/>
      <c r="H148" s="36"/>
      <c r="I148" s="37"/>
    </row>
    <row r="149" spans="1:10" ht="14.1" customHeight="1" x14ac:dyDescent="0.2">
      <c r="A149" s="4"/>
      <c r="B149" s="4"/>
      <c r="C149" s="5"/>
      <c r="D149" s="6"/>
      <c r="E149" s="7" t="s">
        <v>21</v>
      </c>
      <c r="F149" s="8">
        <v>168</v>
      </c>
      <c r="H149" s="40"/>
    </row>
    <row r="150" spans="1:10" ht="14.1" customHeight="1" thickBot="1" x14ac:dyDescent="0.25">
      <c r="A150" s="4"/>
      <c r="B150" s="4"/>
      <c r="C150" s="9"/>
      <c r="D150" s="2"/>
      <c r="E150" s="10" t="s">
        <v>22</v>
      </c>
      <c r="F150" s="11">
        <v>21</v>
      </c>
      <c r="H150" s="40"/>
    </row>
    <row r="151" spans="1:10" ht="14.1" customHeight="1" thickBot="1" x14ac:dyDescent="0.25">
      <c r="A151" s="128" t="s">
        <v>23</v>
      </c>
      <c r="B151" s="128"/>
      <c r="C151" s="128"/>
      <c r="D151" s="12"/>
      <c r="E151" s="2"/>
      <c r="F151" s="2"/>
      <c r="H151" s="40"/>
    </row>
    <row r="152" spans="1:10" ht="14.25" x14ac:dyDescent="0.2">
      <c r="A152" s="13"/>
      <c r="B152" s="13"/>
      <c r="C152" s="6"/>
      <c r="D152" s="6"/>
      <c r="E152" s="14" t="s">
        <v>24</v>
      </c>
      <c r="F152" s="15">
        <f>SUMIF(F9:F147,"Billable",H9:H147)</f>
        <v>0</v>
      </c>
      <c r="H152" s="38"/>
    </row>
    <row r="153" spans="1:10" ht="15" customHeight="1" thickBot="1" x14ac:dyDescent="0.25">
      <c r="A153" s="129" t="s">
        <v>25</v>
      </c>
      <c r="B153" s="129"/>
      <c r="C153" s="129"/>
      <c r="D153" s="16"/>
      <c r="E153" s="17" t="s">
        <v>26</v>
      </c>
      <c r="F153" s="18">
        <f>SUMIF(F9:F147,"Non-Billable",H9:H147)</f>
        <v>7.7854166666666655</v>
      </c>
      <c r="H153" s="40"/>
    </row>
    <row r="154" spans="1:10" ht="15" thickBot="1" x14ac:dyDescent="0.25">
      <c r="A154" s="2"/>
      <c r="B154" s="2"/>
      <c r="C154" s="2"/>
      <c r="D154" s="2"/>
      <c r="E154" s="19" t="s">
        <v>27</v>
      </c>
      <c r="F154" s="44">
        <f>F152+F153</f>
        <v>7.7854166666666655</v>
      </c>
      <c r="H154" s="40"/>
    </row>
    <row r="155" spans="1:10" ht="13.5" thickBot="1" x14ac:dyDescent="0.25">
      <c r="A155" s="2"/>
      <c r="B155" s="2"/>
      <c r="C155" s="2"/>
      <c r="D155" s="2"/>
      <c r="E155" s="2"/>
      <c r="F155" s="2"/>
      <c r="H155" s="40"/>
    </row>
    <row r="156" spans="1:10" ht="13.5" thickBot="1" x14ac:dyDescent="0.25">
      <c r="A156" s="2"/>
      <c r="B156" s="2"/>
      <c r="C156" s="2"/>
      <c r="D156" s="2"/>
      <c r="E156" s="20" t="s">
        <v>28</v>
      </c>
      <c r="F156" s="21"/>
      <c r="H156" s="40"/>
    </row>
    <row r="157" spans="1:10" ht="13.5" thickBot="1" x14ac:dyDescent="0.25">
      <c r="E157" s="39"/>
      <c r="H157" s="40"/>
    </row>
  </sheetData>
  <mergeCells count="2">
    <mergeCell ref="A151:C151"/>
    <mergeCell ref="A153:C153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157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148:E149 D151:E153 E156">
    <cfRule type="containsText" dxfId="54" priority="1" operator="containsText" text="Religious Leave">
      <formula>NOT(ISERROR(SEARCH("Religious Leave",D148)))</formula>
    </cfRule>
    <cfRule type="containsText" dxfId="53" priority="2" operator="containsText" text="Birthday Leave">
      <formula>NOT(ISERROR(SEARCH("Birthday Leave",D148)))</formula>
    </cfRule>
    <cfRule type="containsText" dxfId="52" priority="3" operator="containsText" text="Study Leave">
      <formula>NOT(ISERROR(SEARCH("Study Leave",D148)))</formula>
    </cfRule>
    <cfRule type="containsText" dxfId="51" priority="4" operator="containsText" text="Family Responsibility Leave">
      <formula>NOT(ISERROR(SEARCH("Family Responsibility Leave",D148)))</formula>
    </cfRule>
    <cfRule type="containsText" dxfId="50" priority="5" operator="containsText" text="Sick Leave">
      <formula>NOT(ISERROR(SEARCH("Sick Leave",D148)))</formula>
    </cfRule>
    <cfRule type="containsText" dxfId="49" priority="6" operator="containsText" text="Annual Leave">
      <formula>NOT(ISERROR(SEARCH("Annual Leave",D148)))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J9:J53 J55 I9:I54 I77 J78 I56:J76 I79:J83 J85 I84 I86:J89 J91 I90 I92:J94 J96 I95 I97:J102 I103 I123:I125 J104:J107 I105:I107 I110 I108:J109 I128 I130:I147 J111:J113 I112:I113 I114:J120 I126:J127 I121 J122:J125 J129:J147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C9:C40 C43:C72 C75:C80 C82:C98 C101:C132 C135:C147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C41:C42 C73:C74 C81 C99:C100 C133:C134</xm:sqref>
        </x14:dataValidation>
        <x14:dataValidation type="list" allowBlank="1" showInputMessage="1" showErrorMessage="1" xr:uid="{405EFAEA-09F9-426C-8EB4-C1D3371FF589}">
          <x14:formula1>
            <xm:f>Key!$J$3:$J$4</xm:f>
          </x14:formula1>
          <xm:sqref>G99 F9:F147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E9:E147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A35" activeCellId="4" sqref="A9:A11 A14:A18 A21:A25 A28:A32 A35:A39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46204</v>
      </c>
      <c r="B9" s="22" t="s">
        <v>19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20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11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14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16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5" thickBot="1" x14ac:dyDescent="0.25">
      <c r="A39" s="22">
        <v>46234</v>
      </c>
      <c r="B39" s="22" t="s">
        <v>11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4.1" customHeight="1" thickBot="1" x14ac:dyDescent="0.25">
      <c r="A40" s="3"/>
      <c r="B40" s="1"/>
      <c r="C40" s="1"/>
      <c r="D40" s="1"/>
      <c r="E40" s="1"/>
      <c r="F40" s="1"/>
      <c r="G40" s="1"/>
      <c r="H40" s="36"/>
      <c r="I40" s="37"/>
    </row>
    <row r="41" spans="1:10" ht="14.1" customHeight="1" x14ac:dyDescent="0.2">
      <c r="A41" s="4"/>
      <c r="B41" s="4"/>
      <c r="C41" s="5"/>
      <c r="D41" s="6"/>
      <c r="E41" s="7" t="s">
        <v>21</v>
      </c>
      <c r="F41" s="8">
        <v>184</v>
      </c>
      <c r="H41" s="40"/>
    </row>
    <row r="42" spans="1:10" ht="14.1" customHeight="1" thickBot="1" x14ac:dyDescent="0.25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4.1" customHeight="1" thickBot="1" x14ac:dyDescent="0.25">
      <c r="A43" s="128" t="s">
        <v>23</v>
      </c>
      <c r="B43" s="128"/>
      <c r="C43" s="128"/>
      <c r="D43" s="12"/>
      <c r="E43" s="2"/>
      <c r="F43" s="2"/>
      <c r="H43" s="40"/>
    </row>
    <row r="44" spans="1:10" ht="14.25" x14ac:dyDescent="0.2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25">
      <c r="A45" s="129" t="s">
        <v>25</v>
      </c>
      <c r="B45" s="129"/>
      <c r="C45" s="129"/>
      <c r="D45" s="16"/>
      <c r="E45" s="17" t="s">
        <v>26</v>
      </c>
      <c r="F45" s="18">
        <f>SUMIF(F9:F39,"Non-Billable",H9:H39)</f>
        <v>0</v>
      </c>
      <c r="H45" s="40"/>
    </row>
    <row r="46" spans="1:10" ht="15" thickBot="1" x14ac:dyDescent="0.25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5" thickBot="1" x14ac:dyDescent="0.25">
      <c r="A47" s="2"/>
      <c r="B47" s="2"/>
      <c r="C47" s="2"/>
      <c r="D47" s="2"/>
      <c r="E47" s="2"/>
      <c r="F47" s="2"/>
      <c r="H47" s="40"/>
    </row>
    <row r="48" spans="1:10" ht="13.5" thickBot="1" x14ac:dyDescent="0.25">
      <c r="A48" s="2"/>
      <c r="B48" s="2"/>
      <c r="C48" s="2"/>
      <c r="D48" s="2"/>
      <c r="E48" s="20" t="s">
        <v>28</v>
      </c>
      <c r="F48" s="21"/>
      <c r="H48" s="40"/>
    </row>
    <row r="49" spans="5:8" ht="13.5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46235</v>
      </c>
      <c r="B9" s="31" t="s">
        <v>14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16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17</v>
      </c>
      <c r="C11" s="27" t="s">
        <v>125</v>
      </c>
      <c r="D11" s="27" t="s">
        <v>106</v>
      </c>
      <c r="E11" s="27" t="s">
        <v>31</v>
      </c>
      <c r="F11" s="27" t="s">
        <v>13</v>
      </c>
      <c r="G11" s="28" t="s">
        <v>107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18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19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20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11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14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16</v>
      </c>
      <c r="C17" s="32"/>
      <c r="D17" s="32"/>
      <c r="E17" s="32"/>
      <c r="F17" s="32"/>
      <c r="G17" s="33" t="s">
        <v>182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17</v>
      </c>
      <c r="C18" s="48" t="s">
        <v>125</v>
      </c>
      <c r="D18" s="48"/>
      <c r="E18" s="48" t="s">
        <v>89</v>
      </c>
      <c r="F18" s="48" t="s">
        <v>15</v>
      </c>
      <c r="G18" s="49" t="s">
        <v>199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18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19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20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11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14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16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17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18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19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20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11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14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16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17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18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19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20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11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14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16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4.1" customHeight="1" x14ac:dyDescent="0.2">
      <c r="A39" s="22">
        <v>46265</v>
      </c>
      <c r="B39" s="22" t="s">
        <v>17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4.1" customHeight="1" thickBot="1" x14ac:dyDescent="0.25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4.1" customHeight="1" x14ac:dyDescent="0.2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4.1" customHeight="1" thickBot="1" x14ac:dyDescent="0.25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4.1" customHeight="1" thickBot="1" x14ac:dyDescent="0.25">
      <c r="A43" s="128" t="s">
        <v>23</v>
      </c>
      <c r="B43" s="128"/>
      <c r="C43" s="128"/>
      <c r="D43" s="12"/>
      <c r="E43" s="2"/>
      <c r="F43" s="2"/>
      <c r="H43" s="40"/>
    </row>
    <row r="44" spans="1:10" ht="14.25" x14ac:dyDescent="0.2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25">
      <c r="A45" s="129" t="s">
        <v>25</v>
      </c>
      <c r="B45" s="129"/>
      <c r="C45" s="129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5" thickBot="1" x14ac:dyDescent="0.25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5" thickBot="1" x14ac:dyDescent="0.25">
      <c r="A47" s="2"/>
      <c r="B47" s="2"/>
      <c r="C47" s="2"/>
      <c r="D47" s="2"/>
      <c r="E47" s="2"/>
      <c r="F47" s="2"/>
      <c r="H47" s="40"/>
    </row>
    <row r="48" spans="1:10" ht="13.5" thickBot="1" x14ac:dyDescent="0.25">
      <c r="A48" s="2"/>
      <c r="B48" s="2"/>
      <c r="C48" s="2"/>
      <c r="D48" s="2"/>
      <c r="E48" s="20" t="s">
        <v>28</v>
      </c>
      <c r="F48" s="21"/>
      <c r="H48" s="40"/>
    </row>
    <row r="49" spans="5:8" ht="13.5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46266</v>
      </c>
      <c r="B9" s="22" t="s">
        <v>18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19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11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14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17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11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14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17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11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17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20</v>
      </c>
      <c r="C32" s="48" t="s">
        <v>125</v>
      </c>
      <c r="D32" s="48"/>
      <c r="E32" s="48" t="s">
        <v>89</v>
      </c>
      <c r="F32" s="48" t="s">
        <v>15</v>
      </c>
      <c r="G32" s="49" t="s">
        <v>183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11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17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4.1" customHeight="1" thickBot="1" x14ac:dyDescent="0.25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4.1" customHeight="1" x14ac:dyDescent="0.2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4.1" customHeight="1" thickBot="1" x14ac:dyDescent="0.25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4.1" customHeight="1" thickBot="1" x14ac:dyDescent="0.25">
      <c r="A42" s="128" t="s">
        <v>23</v>
      </c>
      <c r="B42" s="128"/>
      <c r="C42" s="128"/>
      <c r="D42" s="12"/>
      <c r="E42" s="2"/>
      <c r="F42" s="2"/>
      <c r="H42" s="40"/>
    </row>
    <row r="43" spans="1:10" ht="14.25" x14ac:dyDescent="0.2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25">
      <c r="A44" s="129" t="s">
        <v>25</v>
      </c>
      <c r="B44" s="129"/>
      <c r="C44" s="129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5" thickBot="1" x14ac:dyDescent="0.25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5" thickBot="1" x14ac:dyDescent="0.25">
      <c r="A46" s="2"/>
      <c r="B46" s="2"/>
      <c r="C46" s="2"/>
      <c r="D46" s="2"/>
      <c r="E46" s="2"/>
      <c r="F46" s="2"/>
      <c r="H46" s="40"/>
    </row>
    <row r="47" spans="1:10" ht="13.5" thickBot="1" x14ac:dyDescent="0.25">
      <c r="A47" s="2"/>
      <c r="B47" s="2"/>
      <c r="C47" s="2"/>
      <c r="D47" s="2"/>
      <c r="E47" s="20" t="s">
        <v>28</v>
      </c>
      <c r="F47" s="21"/>
      <c r="H47" s="40"/>
    </row>
    <row r="48" spans="1:10" ht="13.5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25" style="23" bestFit="1" customWidth="1"/>
    <col min="4" max="4" width="8.625" style="23"/>
    <col min="5" max="5" width="13.375" style="23" customWidth="1"/>
    <col min="6" max="6" width="14.5" style="23" customWidth="1"/>
    <col min="7" max="16384" width="8.625" style="23"/>
  </cols>
  <sheetData>
    <row r="1" spans="1:15" ht="13.5" customHeight="1" x14ac:dyDescent="0.2">
      <c r="A1" s="80"/>
      <c r="B1" s="80"/>
      <c r="C1" s="80"/>
      <c r="D1" s="80"/>
      <c r="E1" s="80"/>
      <c r="F1" s="80"/>
    </row>
    <row r="2" spans="1:15" x14ac:dyDescent="0.2">
      <c r="A2" s="79"/>
      <c r="B2" s="79"/>
      <c r="C2" s="84"/>
      <c r="D2" s="84"/>
      <c r="E2" s="84"/>
      <c r="F2" s="84"/>
    </row>
    <row r="3" spans="1:15" x14ac:dyDescent="0.2">
      <c r="A3" s="79"/>
      <c r="B3" s="79"/>
      <c r="C3" s="85"/>
      <c r="D3" s="85"/>
      <c r="E3" s="85"/>
      <c r="F3" s="85"/>
    </row>
    <row r="4" spans="1:15" x14ac:dyDescent="0.2">
      <c r="A4" s="79"/>
      <c r="B4" s="79"/>
      <c r="C4" s="86"/>
      <c r="D4" s="86"/>
      <c r="E4" s="86"/>
      <c r="F4" s="86"/>
    </row>
    <row r="5" spans="1:15" x14ac:dyDescent="0.2">
      <c r="A5" s="37" t="s">
        <v>2</v>
      </c>
      <c r="B5" s="23" t="s">
        <v>106</v>
      </c>
      <c r="C5" s="86"/>
      <c r="D5" s="86"/>
      <c r="E5" s="86"/>
      <c r="F5" s="86"/>
    </row>
    <row r="6" spans="1:15" x14ac:dyDescent="0.2">
      <c r="A6" s="79" t="s">
        <v>165</v>
      </c>
      <c r="B6" s="81">
        <f>F17</f>
        <v>200</v>
      </c>
      <c r="C6" s="84"/>
      <c r="D6" s="85"/>
      <c r="E6" s="85"/>
      <c r="F6" s="85"/>
    </row>
    <row r="7" spans="1:15" ht="13.5" customHeight="1" x14ac:dyDescent="0.2">
      <c r="A7" s="73"/>
      <c r="B7" s="74"/>
      <c r="C7" s="74"/>
      <c r="D7" s="85"/>
      <c r="E7" s="85"/>
      <c r="F7" s="85"/>
    </row>
    <row r="8" spans="1:15" ht="27.6" customHeight="1" x14ac:dyDescent="0.2">
      <c r="A8" s="138" t="s">
        <v>166</v>
      </c>
      <c r="B8" s="138"/>
      <c r="C8" s="138"/>
      <c r="D8" s="138"/>
      <c r="E8" s="138"/>
      <c r="F8" s="138"/>
    </row>
    <row r="9" spans="1:15" ht="13.5" customHeight="1" thickBot="1" x14ac:dyDescent="0.25">
      <c r="A9" s="82" t="s">
        <v>170</v>
      </c>
      <c r="B9" s="141" t="s">
        <v>167</v>
      </c>
      <c r="C9" s="142"/>
      <c r="D9" s="141" t="s">
        <v>94</v>
      </c>
      <c r="E9" s="142"/>
      <c r="F9" s="83" t="s">
        <v>95</v>
      </c>
    </row>
    <row r="10" spans="1:15" x14ac:dyDescent="0.2">
      <c r="A10" s="78">
        <v>46113</v>
      </c>
      <c r="B10" s="132" t="s">
        <v>168</v>
      </c>
      <c r="C10" s="132"/>
      <c r="D10" s="132" t="s">
        <v>123</v>
      </c>
      <c r="E10" s="132"/>
      <c r="F10" s="77">
        <v>200</v>
      </c>
      <c r="G10" s="139" t="s">
        <v>169</v>
      </c>
      <c r="H10" s="140"/>
      <c r="I10" s="140"/>
      <c r="J10" s="140"/>
      <c r="K10" s="140"/>
      <c r="L10" s="140"/>
      <c r="M10" s="140"/>
      <c r="N10" s="140"/>
      <c r="O10" s="140"/>
    </row>
    <row r="11" spans="1:15" x14ac:dyDescent="0.2">
      <c r="A11" s="78">
        <v>46113</v>
      </c>
      <c r="B11" s="130" t="s">
        <v>171</v>
      </c>
      <c r="C11" s="131"/>
      <c r="D11" s="132" t="s">
        <v>128</v>
      </c>
      <c r="E11" s="132"/>
      <c r="F11" s="77"/>
    </row>
    <row r="12" spans="1:15" x14ac:dyDescent="0.2">
      <c r="A12" s="78">
        <v>46113</v>
      </c>
      <c r="B12" s="130" t="s">
        <v>172</v>
      </c>
      <c r="C12" s="131"/>
      <c r="D12" s="132"/>
      <c r="E12" s="132"/>
      <c r="F12" s="77"/>
    </row>
    <row r="13" spans="1:15" x14ac:dyDescent="0.2">
      <c r="A13" s="78">
        <v>46113</v>
      </c>
      <c r="B13" s="130"/>
      <c r="C13" s="131"/>
      <c r="D13" s="132"/>
      <c r="E13" s="132"/>
      <c r="F13" s="77"/>
    </row>
    <row r="14" spans="1:15" x14ac:dyDescent="0.2">
      <c r="A14" s="78">
        <v>46113</v>
      </c>
      <c r="B14" s="130"/>
      <c r="C14" s="131"/>
      <c r="D14" s="132"/>
      <c r="E14" s="132"/>
      <c r="F14" s="77"/>
    </row>
    <row r="15" spans="1:15" x14ac:dyDescent="0.2">
      <c r="A15" s="78">
        <v>46113</v>
      </c>
      <c r="B15" s="136"/>
      <c r="C15" s="137"/>
      <c r="D15" s="132"/>
      <c r="E15" s="132"/>
      <c r="F15" s="77"/>
    </row>
    <row r="16" spans="1:15" ht="13.5" thickBot="1" x14ac:dyDescent="0.25">
      <c r="A16" s="78">
        <v>46113</v>
      </c>
      <c r="B16" s="130"/>
      <c r="C16" s="131"/>
      <c r="D16" s="132"/>
      <c r="E16" s="132"/>
      <c r="F16" s="77"/>
    </row>
    <row r="17" spans="1:6" ht="13.5" customHeight="1" thickBot="1" x14ac:dyDescent="0.25">
      <c r="A17" s="133" t="s">
        <v>96</v>
      </c>
      <c r="B17" s="134"/>
      <c r="C17" s="134"/>
      <c r="D17" s="134"/>
      <c r="E17" s="135"/>
      <c r="F17" s="76">
        <f>SUM(F10:F16)</f>
        <v>200</v>
      </c>
    </row>
    <row r="18" spans="1:6" x14ac:dyDescent="0.2">
      <c r="A18" s="73"/>
      <c r="B18" s="74"/>
      <c r="C18" s="74"/>
      <c r="D18" s="74"/>
      <c r="E18" s="75"/>
      <c r="F18" s="75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115" zoomScaleNormal="115" workbookViewId="0">
      <selection activeCell="J10" sqref="J10"/>
    </sheetView>
  </sheetViews>
  <sheetFormatPr defaultColWidth="8.625" defaultRowHeight="12.75" x14ac:dyDescent="0.2"/>
  <cols>
    <col min="1" max="1" width="15.5" style="23" bestFit="1" customWidth="1"/>
    <col min="2" max="2" width="11.875" style="23" customWidth="1"/>
    <col min="3" max="3" width="11.25" style="23" customWidth="1"/>
    <col min="4" max="16384" width="8.625" style="23"/>
  </cols>
  <sheetData>
    <row r="4" spans="1:6" x14ac:dyDescent="0.2">
      <c r="A4" s="143"/>
      <c r="B4" s="143"/>
    </row>
    <row r="5" spans="1:6" x14ac:dyDescent="0.2">
      <c r="A5" s="37" t="s">
        <v>2</v>
      </c>
      <c r="B5" s="23" t="s">
        <v>212</v>
      </c>
    </row>
    <row r="6" spans="1:6" x14ac:dyDescent="0.2">
      <c r="A6" s="79" t="s">
        <v>174</v>
      </c>
      <c r="B6" s="117" t="s">
        <v>242</v>
      </c>
    </row>
    <row r="7" spans="1:6" x14ac:dyDescent="0.2">
      <c r="A7" s="95" t="s">
        <v>175</v>
      </c>
      <c r="B7" s="117" t="s">
        <v>243</v>
      </c>
    </row>
    <row r="8" spans="1:6" x14ac:dyDescent="0.2">
      <c r="A8" s="96"/>
      <c r="B8" s="85"/>
    </row>
    <row r="9" spans="1:6" ht="27.6" customHeight="1" x14ac:dyDescent="0.2">
      <c r="A9" s="157" t="s">
        <v>173</v>
      </c>
      <c r="B9" s="157"/>
      <c r="C9" s="157"/>
      <c r="D9" s="157"/>
      <c r="E9" s="157"/>
      <c r="F9" s="157"/>
    </row>
    <row r="10" spans="1:6" ht="25.5" x14ac:dyDescent="0.2">
      <c r="A10" s="87" t="s">
        <v>97</v>
      </c>
      <c r="B10" s="87" t="s">
        <v>98</v>
      </c>
      <c r="C10" s="87" t="s">
        <v>99</v>
      </c>
      <c r="D10" s="87" t="s">
        <v>100</v>
      </c>
      <c r="E10" s="87" t="s">
        <v>101</v>
      </c>
      <c r="F10" s="87" t="s">
        <v>102</v>
      </c>
    </row>
    <row r="11" spans="1:6" x14ac:dyDescent="0.2">
      <c r="A11" s="87" t="s">
        <v>81</v>
      </c>
      <c r="B11" s="117">
        <v>46094</v>
      </c>
      <c r="C11" s="117">
        <v>46095</v>
      </c>
      <c r="D11" s="87">
        <v>1</v>
      </c>
      <c r="E11" s="87"/>
      <c r="F11" s="87" t="s">
        <v>194</v>
      </c>
    </row>
    <row r="12" spans="1:6" x14ac:dyDescent="0.2">
      <c r="A12" s="87"/>
      <c r="B12" s="87"/>
      <c r="C12" s="87"/>
      <c r="D12" s="87"/>
      <c r="E12" s="87"/>
      <c r="F12" s="87"/>
    </row>
    <row r="13" spans="1:6" ht="13.5" thickBot="1" x14ac:dyDescent="0.25">
      <c r="A13" s="87"/>
      <c r="B13" s="87"/>
      <c r="C13" s="87"/>
      <c r="D13" s="87"/>
      <c r="E13" s="87"/>
      <c r="F13" s="87"/>
    </row>
    <row r="14" spans="1:6" ht="13.5" thickBot="1" x14ac:dyDescent="0.25">
      <c r="A14" s="88"/>
      <c r="B14" s="89"/>
      <c r="C14" s="89"/>
      <c r="D14" s="90">
        <f>SUM(D11:D13)</f>
        <v>1</v>
      </c>
      <c r="E14" s="89"/>
      <c r="F14" s="91"/>
    </row>
    <row r="15" spans="1:6" ht="13.5" thickBot="1" x14ac:dyDescent="0.25">
      <c r="A15" s="147"/>
      <c r="B15" s="148"/>
      <c r="C15" s="148"/>
      <c r="D15" s="148"/>
      <c r="E15" s="148"/>
      <c r="F15" s="148"/>
    </row>
    <row r="16" spans="1:6" x14ac:dyDescent="0.2">
      <c r="A16" s="158" t="s">
        <v>103</v>
      </c>
      <c r="B16" s="159"/>
      <c r="C16" s="159"/>
      <c r="D16" s="159"/>
      <c r="E16" s="159"/>
      <c r="F16" s="160"/>
    </row>
    <row r="17" spans="1:6" x14ac:dyDescent="0.2">
      <c r="A17" s="144" t="s">
        <v>244</v>
      </c>
      <c r="B17" s="145"/>
      <c r="C17" s="145"/>
      <c r="D17" s="145"/>
      <c r="E17" s="145"/>
      <c r="F17" s="146"/>
    </row>
    <row r="18" spans="1:6" x14ac:dyDescent="0.2">
      <c r="A18" s="144"/>
      <c r="B18" s="145"/>
      <c r="C18" s="145"/>
      <c r="D18" s="145"/>
      <c r="E18" s="145"/>
      <c r="F18" s="146"/>
    </row>
    <row r="19" spans="1:6" ht="13.5" thickBot="1" x14ac:dyDescent="0.25">
      <c r="A19" s="147"/>
      <c r="B19" s="148"/>
      <c r="C19" s="148"/>
      <c r="D19" s="148"/>
      <c r="E19" s="148"/>
      <c r="F19" s="149"/>
    </row>
    <row r="20" spans="1:6" ht="13.5" thickBot="1" x14ac:dyDescent="0.25"/>
    <row r="21" spans="1:6" x14ac:dyDescent="0.2">
      <c r="A21" s="92" t="s">
        <v>0</v>
      </c>
      <c r="B21" s="150">
        <v>46134</v>
      </c>
      <c r="C21" s="151"/>
      <c r="D21" s="151"/>
      <c r="E21" s="151"/>
      <c r="F21" s="152"/>
    </row>
    <row r="22" spans="1:6" x14ac:dyDescent="0.2">
      <c r="A22" s="93" t="s">
        <v>104</v>
      </c>
      <c r="B22" s="153" t="s">
        <v>245</v>
      </c>
      <c r="C22" s="153"/>
      <c r="D22" s="153"/>
      <c r="E22" s="153"/>
      <c r="F22" s="154"/>
    </row>
    <row r="23" spans="1:6" ht="13.5" thickBot="1" x14ac:dyDescent="0.25">
      <c r="A23" s="94" t="s">
        <v>105</v>
      </c>
      <c r="B23" s="155"/>
      <c r="C23" s="155"/>
      <c r="D23" s="155"/>
      <c r="E23" s="155"/>
      <c r="F23" s="156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phoneticPr fontId="10" type="noConversion"/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F42" sqref="F42"/>
    </sheetView>
  </sheetViews>
  <sheetFormatPr defaultColWidth="8.625" defaultRowHeight="15" x14ac:dyDescent="0.25"/>
  <cols>
    <col min="1" max="1" width="8.625" style="52"/>
    <col min="2" max="2" width="25.5" style="52" customWidth="1"/>
    <col min="3" max="3" width="8.625" style="52"/>
    <col min="4" max="4" width="19.375" style="52" customWidth="1"/>
    <col min="5" max="5" width="8.625" style="52"/>
    <col min="6" max="6" width="21.875" style="52" customWidth="1"/>
    <col min="7" max="16384" width="8.625" style="52"/>
  </cols>
  <sheetData>
    <row r="2" spans="2:10" ht="15.75" thickBot="1" x14ac:dyDescent="0.3">
      <c r="B2" s="66" t="s">
        <v>125</v>
      </c>
      <c r="D2" s="53" t="s">
        <v>114</v>
      </c>
      <c r="F2" s="52" t="s">
        <v>5</v>
      </c>
      <c r="H2" s="52" t="s">
        <v>29</v>
      </c>
      <c r="J2" s="53" t="s">
        <v>13</v>
      </c>
    </row>
    <row r="3" spans="2:10" x14ac:dyDescent="0.25">
      <c r="B3" s="66" t="s">
        <v>115</v>
      </c>
      <c r="D3" s="71" t="s">
        <v>30</v>
      </c>
      <c r="F3" s="55" t="s">
        <v>31</v>
      </c>
      <c r="H3" s="68" t="s">
        <v>112</v>
      </c>
      <c r="I3" s="99"/>
      <c r="J3" s="56" t="s">
        <v>15</v>
      </c>
    </row>
    <row r="4" spans="2:10" x14ac:dyDescent="0.25">
      <c r="B4" s="66" t="s">
        <v>126</v>
      </c>
      <c r="D4" s="54" t="s">
        <v>32</v>
      </c>
      <c r="F4" s="57" t="s">
        <v>33</v>
      </c>
      <c r="H4" s="101" t="s">
        <v>82</v>
      </c>
      <c r="I4" s="68"/>
      <c r="J4" s="58" t="s">
        <v>13</v>
      </c>
    </row>
    <row r="5" spans="2:10" x14ac:dyDescent="0.25">
      <c r="B5" s="66" t="s">
        <v>127</v>
      </c>
      <c r="D5" s="71" t="s">
        <v>35</v>
      </c>
      <c r="F5" s="59" t="s">
        <v>36</v>
      </c>
      <c r="H5" s="68" t="s">
        <v>77</v>
      </c>
      <c r="I5" s="100"/>
    </row>
    <row r="6" spans="2:10" x14ac:dyDescent="0.25">
      <c r="B6" s="66" t="s">
        <v>218</v>
      </c>
      <c r="D6" s="54" t="s">
        <v>38</v>
      </c>
      <c r="F6" s="57" t="s">
        <v>39</v>
      </c>
      <c r="H6" s="99" t="s">
        <v>47</v>
      </c>
      <c r="I6" s="101"/>
    </row>
    <row r="7" spans="2:10" x14ac:dyDescent="0.25">
      <c r="B7" s="66" t="s">
        <v>116</v>
      </c>
      <c r="D7" s="71" t="s">
        <v>40</v>
      </c>
      <c r="F7" s="59" t="s">
        <v>41</v>
      </c>
      <c r="H7" s="67" t="s">
        <v>12</v>
      </c>
      <c r="I7" s="102"/>
    </row>
    <row r="8" spans="2:10" x14ac:dyDescent="0.25">
      <c r="B8" s="66" t="s">
        <v>219</v>
      </c>
      <c r="D8" s="54" t="s">
        <v>43</v>
      </c>
      <c r="F8" s="57" t="s">
        <v>44</v>
      </c>
      <c r="H8" s="102" t="s">
        <v>131</v>
      </c>
      <c r="I8" s="99"/>
      <c r="J8" s="52" t="s">
        <v>124</v>
      </c>
    </row>
    <row r="9" spans="2:10" x14ac:dyDescent="0.25">
      <c r="B9" s="66" t="s">
        <v>129</v>
      </c>
      <c r="D9" s="71" t="s">
        <v>45</v>
      </c>
      <c r="F9" s="59" t="s">
        <v>46</v>
      </c>
      <c r="H9" s="103" t="s">
        <v>184</v>
      </c>
      <c r="I9" s="99"/>
      <c r="J9" s="52" t="s">
        <v>123</v>
      </c>
    </row>
    <row r="10" spans="2:10" x14ac:dyDescent="0.25">
      <c r="B10" s="66" t="s">
        <v>217</v>
      </c>
      <c r="D10" s="54" t="s">
        <v>48</v>
      </c>
      <c r="F10" s="57" t="s">
        <v>49</v>
      </c>
      <c r="H10" s="107" t="s">
        <v>205</v>
      </c>
      <c r="I10" s="102"/>
    </row>
    <row r="11" spans="2:10" x14ac:dyDescent="0.25">
      <c r="B11" s="66" t="s">
        <v>133</v>
      </c>
      <c r="D11" s="71" t="s">
        <v>50</v>
      </c>
      <c r="F11" s="59" t="s">
        <v>51</v>
      </c>
      <c r="H11" s="103" t="s">
        <v>34</v>
      </c>
      <c r="I11" s="102"/>
      <c r="J11" s="52" t="s">
        <v>120</v>
      </c>
    </row>
    <row r="12" spans="2:10" x14ac:dyDescent="0.25">
      <c r="B12" s="66" t="s">
        <v>136</v>
      </c>
      <c r="F12" s="57" t="s">
        <v>52</v>
      </c>
      <c r="H12" s="107" t="s">
        <v>206</v>
      </c>
      <c r="I12" s="103"/>
      <c r="J12" s="52" t="s">
        <v>121</v>
      </c>
    </row>
    <row r="13" spans="2:10" x14ac:dyDescent="0.25">
      <c r="B13" s="66" t="s">
        <v>132</v>
      </c>
      <c r="F13" s="59" t="s">
        <v>53</v>
      </c>
      <c r="H13" s="104" t="s">
        <v>134</v>
      </c>
      <c r="I13" s="103"/>
    </row>
    <row r="14" spans="2:10" x14ac:dyDescent="0.25">
      <c r="B14" s="66" t="s">
        <v>135</v>
      </c>
      <c r="D14" s="60"/>
      <c r="F14" s="57" t="s">
        <v>54</v>
      </c>
      <c r="H14" s="105" t="s">
        <v>137</v>
      </c>
      <c r="I14" s="104"/>
    </row>
    <row r="15" spans="2:10" x14ac:dyDescent="0.25">
      <c r="B15" s="66" t="s">
        <v>130</v>
      </c>
      <c r="D15" s="61"/>
      <c r="F15" s="59" t="s">
        <v>56</v>
      </c>
      <c r="H15" s="103" t="s">
        <v>138</v>
      </c>
      <c r="I15" s="103"/>
    </row>
    <row r="16" spans="2:10" x14ac:dyDescent="0.25">
      <c r="B16" s="66" t="s">
        <v>117</v>
      </c>
      <c r="D16" s="61"/>
      <c r="F16" s="57" t="s">
        <v>58</v>
      </c>
      <c r="H16" s="104" t="s">
        <v>203</v>
      </c>
      <c r="I16" s="105"/>
    </row>
    <row r="17" spans="2:9" x14ac:dyDescent="0.25">
      <c r="B17" s="66" t="s">
        <v>57</v>
      </c>
      <c r="D17" s="61"/>
      <c r="F17" s="59" t="s">
        <v>59</v>
      </c>
      <c r="H17" s="67" t="s">
        <v>61</v>
      </c>
      <c r="I17" s="103"/>
    </row>
    <row r="18" spans="2:9" x14ac:dyDescent="0.25">
      <c r="B18" s="66" t="s">
        <v>141</v>
      </c>
      <c r="D18" s="61"/>
      <c r="F18" s="57" t="s">
        <v>60</v>
      </c>
      <c r="H18" s="108" t="s">
        <v>140</v>
      </c>
      <c r="I18" s="105"/>
    </row>
    <row r="19" spans="2:9" x14ac:dyDescent="0.25">
      <c r="B19" s="66" t="s">
        <v>213</v>
      </c>
      <c r="D19" s="61"/>
      <c r="F19" s="59" t="s">
        <v>62</v>
      </c>
      <c r="H19" s="70" t="s">
        <v>198</v>
      </c>
      <c r="I19" s="106"/>
    </row>
    <row r="20" spans="2:9" x14ac:dyDescent="0.25">
      <c r="B20" s="66" t="s">
        <v>142</v>
      </c>
      <c r="D20" s="61"/>
      <c r="F20" s="57" t="s">
        <v>63</v>
      </c>
      <c r="H20" s="70" t="s">
        <v>108</v>
      </c>
      <c r="I20" s="104"/>
    </row>
    <row r="21" spans="2:9" x14ac:dyDescent="0.25">
      <c r="B21" s="66" t="s">
        <v>143</v>
      </c>
      <c r="D21" s="61"/>
      <c r="F21" s="59" t="s">
        <v>64</v>
      </c>
      <c r="H21" s="112" t="s">
        <v>74</v>
      </c>
      <c r="I21" s="102"/>
    </row>
    <row r="22" spans="2:9" ht="26.25" x14ac:dyDescent="0.25">
      <c r="B22" s="66" t="s">
        <v>139</v>
      </c>
      <c r="D22" s="61"/>
      <c r="F22" s="57" t="s">
        <v>66</v>
      </c>
      <c r="H22" s="118" t="s">
        <v>186</v>
      </c>
      <c r="I22" s="107"/>
    </row>
    <row r="23" spans="2:9" x14ac:dyDescent="0.25">
      <c r="B23" s="66" t="s">
        <v>216</v>
      </c>
      <c r="D23" s="61"/>
      <c r="F23" s="59" t="s">
        <v>68</v>
      </c>
      <c r="H23" s="110" t="s">
        <v>106</v>
      </c>
      <c r="I23" s="108"/>
    </row>
    <row r="24" spans="2:9" x14ac:dyDescent="0.25">
      <c r="B24" s="66" t="s">
        <v>118</v>
      </c>
      <c r="D24" s="61"/>
      <c r="F24" s="57" t="s">
        <v>69</v>
      </c>
      <c r="H24" s="70" t="s">
        <v>119</v>
      </c>
      <c r="I24" s="109"/>
    </row>
    <row r="25" spans="2:9" x14ac:dyDescent="0.25">
      <c r="B25" s="66" t="s">
        <v>144</v>
      </c>
      <c r="D25" s="61"/>
      <c r="F25" s="59" t="s">
        <v>70</v>
      </c>
      <c r="H25" s="112" t="s">
        <v>109</v>
      </c>
      <c r="I25" s="110"/>
    </row>
    <row r="26" spans="2:9" x14ac:dyDescent="0.25">
      <c r="B26" s="66" t="s">
        <v>145</v>
      </c>
      <c r="F26" s="57" t="s">
        <v>71</v>
      </c>
      <c r="H26" s="70" t="s">
        <v>113</v>
      </c>
    </row>
    <row r="27" spans="2:9" x14ac:dyDescent="0.25">
      <c r="B27" s="66" t="s">
        <v>146</v>
      </c>
      <c r="D27" s="61"/>
      <c r="F27" s="59" t="s">
        <v>72</v>
      </c>
      <c r="H27" s="109" t="s">
        <v>207</v>
      </c>
      <c r="I27" s="108"/>
    </row>
    <row r="28" spans="2:9" x14ac:dyDescent="0.25">
      <c r="B28" s="66" t="s">
        <v>148</v>
      </c>
      <c r="D28" s="61"/>
      <c r="F28" s="57" t="s">
        <v>73</v>
      </c>
      <c r="H28" s="112" t="s">
        <v>200</v>
      </c>
      <c r="I28" s="70"/>
    </row>
    <row r="29" spans="2:9" x14ac:dyDescent="0.25">
      <c r="B29" s="66" t="s">
        <v>197</v>
      </c>
      <c r="F29" s="59" t="s">
        <v>75</v>
      </c>
      <c r="H29" s="110" t="s">
        <v>42</v>
      </c>
      <c r="I29" s="111"/>
    </row>
    <row r="30" spans="2:9" x14ac:dyDescent="0.25">
      <c r="B30" s="66" t="s">
        <v>149</v>
      </c>
      <c r="F30" s="57" t="s">
        <v>76</v>
      </c>
      <c r="H30" s="69" t="s">
        <v>147</v>
      </c>
      <c r="I30" s="109"/>
    </row>
    <row r="31" spans="2:9" x14ac:dyDescent="0.25">
      <c r="B31" s="66" t="s">
        <v>150</v>
      </c>
      <c r="F31" s="59" t="s">
        <v>79</v>
      </c>
      <c r="H31" s="69" t="s">
        <v>185</v>
      </c>
    </row>
    <row r="32" spans="2:9" x14ac:dyDescent="0.25">
      <c r="B32" s="66" t="s">
        <v>78</v>
      </c>
      <c r="F32" s="57" t="s">
        <v>80</v>
      </c>
      <c r="H32" s="111" t="s">
        <v>187</v>
      </c>
      <c r="I32" s="110"/>
    </row>
    <row r="33" spans="2:9" x14ac:dyDescent="0.25">
      <c r="B33" s="66" t="s">
        <v>151</v>
      </c>
      <c r="F33" s="59" t="s">
        <v>81</v>
      </c>
      <c r="H33" s="119" t="s">
        <v>65</v>
      </c>
      <c r="I33" s="110"/>
    </row>
    <row r="34" spans="2:9" x14ac:dyDescent="0.25">
      <c r="B34" s="66" t="s">
        <v>83</v>
      </c>
      <c r="F34" s="57" t="s">
        <v>84</v>
      </c>
      <c r="H34" s="109" t="s">
        <v>208</v>
      </c>
      <c r="I34" s="69"/>
    </row>
    <row r="35" spans="2:9" x14ac:dyDescent="0.25">
      <c r="B35" s="66" t="s">
        <v>152</v>
      </c>
      <c r="F35" s="59" t="s">
        <v>85</v>
      </c>
      <c r="H35" s="114" t="s">
        <v>188</v>
      </c>
      <c r="I35" s="109"/>
    </row>
    <row r="36" spans="2:9" x14ac:dyDescent="0.25">
      <c r="B36" s="66" t="s">
        <v>215</v>
      </c>
      <c r="F36" s="57" t="s">
        <v>87</v>
      </c>
      <c r="H36" s="111" t="s">
        <v>189</v>
      </c>
      <c r="I36" s="102"/>
    </row>
    <row r="37" spans="2:9" x14ac:dyDescent="0.25">
      <c r="B37" s="66" t="s">
        <v>154</v>
      </c>
      <c r="F37" s="57" t="s">
        <v>88</v>
      </c>
      <c r="H37" s="112" t="s">
        <v>204</v>
      </c>
      <c r="I37" s="110"/>
    </row>
    <row r="38" spans="2:9" x14ac:dyDescent="0.25">
      <c r="B38" s="66" t="s">
        <v>155</v>
      </c>
      <c r="F38" s="57" t="s">
        <v>89</v>
      </c>
      <c r="H38" s="109" t="s">
        <v>209</v>
      </c>
      <c r="I38" s="109"/>
    </row>
    <row r="39" spans="2:9" ht="25.5" x14ac:dyDescent="0.25">
      <c r="B39" s="66" t="s">
        <v>157</v>
      </c>
      <c r="F39" s="57" t="s">
        <v>91</v>
      </c>
      <c r="H39" s="109" t="s">
        <v>190</v>
      </c>
      <c r="I39" s="111"/>
    </row>
    <row r="40" spans="2:9" x14ac:dyDescent="0.25">
      <c r="B40" s="66" t="s">
        <v>90</v>
      </c>
      <c r="F40" s="59" t="s">
        <v>214</v>
      </c>
      <c r="H40" s="69" t="s">
        <v>164</v>
      </c>
      <c r="I40" s="112"/>
    </row>
    <row r="41" spans="2:9" x14ac:dyDescent="0.25">
      <c r="B41" s="66" t="s">
        <v>196</v>
      </c>
      <c r="D41" s="63"/>
      <c r="F41" s="122" t="s">
        <v>221</v>
      </c>
      <c r="H41" s="111" t="s">
        <v>191</v>
      </c>
      <c r="I41" s="112"/>
    </row>
    <row r="42" spans="2:9" x14ac:dyDescent="0.25">
      <c r="B42" s="66" t="s">
        <v>110</v>
      </c>
      <c r="H42" s="112" t="s">
        <v>153</v>
      </c>
      <c r="I42" s="109"/>
    </row>
    <row r="43" spans="2:9" x14ac:dyDescent="0.25">
      <c r="B43" s="66" t="s">
        <v>159</v>
      </c>
      <c r="H43" s="109" t="s">
        <v>192</v>
      </c>
      <c r="I43" s="111"/>
    </row>
    <row r="44" spans="2:9" x14ac:dyDescent="0.25">
      <c r="B44" s="121" t="s">
        <v>160</v>
      </c>
      <c r="H44" s="111" t="s">
        <v>193</v>
      </c>
    </row>
    <row r="45" spans="2:9" x14ac:dyDescent="0.25">
      <c r="H45" s="112" t="s">
        <v>201</v>
      </c>
      <c r="I45" s="110"/>
    </row>
    <row r="46" spans="2:9" x14ac:dyDescent="0.25">
      <c r="H46" s="70" t="s">
        <v>156</v>
      </c>
      <c r="I46" s="113"/>
    </row>
    <row r="47" spans="2:9" x14ac:dyDescent="0.25">
      <c r="B47" s="62"/>
      <c r="H47" s="112" t="s">
        <v>37</v>
      </c>
      <c r="I47" s="112"/>
    </row>
    <row r="48" spans="2:9" x14ac:dyDescent="0.25">
      <c r="H48" s="70" t="s">
        <v>158</v>
      </c>
      <c r="I48" s="112"/>
    </row>
    <row r="49" spans="8:9" x14ac:dyDescent="0.25">
      <c r="H49" s="109" t="s">
        <v>210</v>
      </c>
      <c r="I49" s="112"/>
    </row>
    <row r="50" spans="8:9" x14ac:dyDescent="0.25">
      <c r="H50" s="70" t="s">
        <v>55</v>
      </c>
      <c r="I50" s="112"/>
    </row>
    <row r="51" spans="8:9" x14ac:dyDescent="0.25">
      <c r="H51" s="69" t="s">
        <v>67</v>
      </c>
      <c r="I51" s="112"/>
    </row>
    <row r="52" spans="8:9" x14ac:dyDescent="0.25">
      <c r="H52" s="112" t="s">
        <v>111</v>
      </c>
    </row>
    <row r="53" spans="8:9" x14ac:dyDescent="0.25">
      <c r="H53" s="109" t="s">
        <v>211</v>
      </c>
      <c r="I53" s="112"/>
    </row>
    <row r="54" spans="8:9" x14ac:dyDescent="0.25">
      <c r="H54" s="69" t="s">
        <v>86</v>
      </c>
      <c r="I54" s="111"/>
    </row>
    <row r="55" spans="8:9" x14ac:dyDescent="0.25">
      <c r="H55" s="70" t="s">
        <v>202</v>
      </c>
      <c r="I55" s="111"/>
    </row>
    <row r="56" spans="8:9" x14ac:dyDescent="0.25">
      <c r="H56" s="109" t="s">
        <v>212</v>
      </c>
      <c r="I56" s="70"/>
    </row>
    <row r="57" spans="8:9" x14ac:dyDescent="0.25">
      <c r="H57" s="70" t="s">
        <v>195</v>
      </c>
      <c r="I57" s="112"/>
    </row>
    <row r="58" spans="8:9" x14ac:dyDescent="0.25">
      <c r="H58" s="70" t="s">
        <v>161</v>
      </c>
      <c r="I58" s="112"/>
    </row>
    <row r="59" spans="8:9" x14ac:dyDescent="0.25">
      <c r="H59" s="112" t="s">
        <v>162</v>
      </c>
      <c r="I59" s="115"/>
    </row>
    <row r="60" spans="8:9" x14ac:dyDescent="0.25">
      <c r="H60" s="115" t="s">
        <v>176</v>
      </c>
      <c r="I60" s="69"/>
    </row>
    <row r="61" spans="8:9" x14ac:dyDescent="0.25">
      <c r="H61" s="69" t="s">
        <v>122</v>
      </c>
      <c r="I61" s="110"/>
    </row>
    <row r="62" spans="8:9" x14ac:dyDescent="0.25">
      <c r="H62" s="69" t="s">
        <v>163</v>
      </c>
      <c r="I62" s="69"/>
    </row>
    <row r="63" spans="8:9" x14ac:dyDescent="0.25">
      <c r="H63" s="110" t="s">
        <v>92</v>
      </c>
    </row>
    <row r="64" spans="8:9" x14ac:dyDescent="0.25">
      <c r="H64" s="120" t="s">
        <v>220</v>
      </c>
    </row>
    <row r="65" spans="8:8" x14ac:dyDescent="0.25">
      <c r="H65" s="111"/>
    </row>
    <row r="66" spans="8:8" x14ac:dyDescent="0.25">
      <c r="H66" s="109"/>
    </row>
    <row r="67" spans="8:8" x14ac:dyDescent="0.25">
      <c r="H67" s="112"/>
    </row>
    <row r="68" spans="8:8" x14ac:dyDescent="0.25">
      <c r="H68" s="102"/>
    </row>
    <row r="69" spans="8:8" x14ac:dyDescent="0.25">
      <c r="H69" s="112"/>
    </row>
    <row r="70" spans="8:8" x14ac:dyDescent="0.25">
      <c r="H70" s="70"/>
    </row>
    <row r="71" spans="8:8" x14ac:dyDescent="0.25">
      <c r="H71" s="109"/>
    </row>
    <row r="72" spans="8:8" x14ac:dyDescent="0.25">
      <c r="H72" s="111"/>
    </row>
    <row r="73" spans="8:8" x14ac:dyDescent="0.25">
      <c r="H73" s="100"/>
    </row>
    <row r="74" spans="8:8" x14ac:dyDescent="0.25">
      <c r="H74" s="107"/>
    </row>
    <row r="75" spans="8:8" x14ac:dyDescent="0.25">
      <c r="H75" s="116"/>
    </row>
    <row r="76" spans="8:8" x14ac:dyDescent="0.25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Apr!Print_Area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Teolan Govender</cp:lastModifiedBy>
  <dcterms:created xsi:type="dcterms:W3CDTF">2020-04-02T09:04:10Z</dcterms:created>
  <dcterms:modified xsi:type="dcterms:W3CDTF">2026-06-30T13:10:19Z</dcterms:modified>
</cp:coreProperties>
</file>