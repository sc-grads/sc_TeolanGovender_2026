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rushil_jivan_sambeconsulting_com/Documents/Documents/Timesheets/April 26/"/>
    </mc:Choice>
  </mc:AlternateContent>
  <xr:revisionPtr revIDLastSave="347" documentId="13_ncr:1_{18456319-F974-4A60-AFC5-4E049C41B553}" xr6:coauthVersionLast="47" xr6:coauthVersionMax="47" xr10:uidLastSave="{27B0E559-3457-45DF-811C-9A74B8028BB1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56" i="10" l="1"/>
  <c r="H55" i="10"/>
  <c r="H53" i="10"/>
  <c r="H52" i="10"/>
  <c r="H48" i="10"/>
  <c r="H46" i="10"/>
  <c r="H44" i="10"/>
  <c r="H42" i="10"/>
  <c r="H40" i="10"/>
  <c r="H36" i="10"/>
  <c r="H34" i="10"/>
  <c r="H32" i="10"/>
  <c r="H30" i="10"/>
  <c r="H28" i="10"/>
  <c r="H24" i="10"/>
  <c r="H22" i="10"/>
  <c r="H20" i="10"/>
  <c r="H18" i="10"/>
  <c r="H11" i="10"/>
  <c r="H10" i="10"/>
  <c r="H9" i="6"/>
  <c r="H11" i="5"/>
  <c r="H9" i="3"/>
  <c r="F62" i="10"/>
  <c r="H13" i="10"/>
  <c r="H16" i="10"/>
  <c r="H14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57" i="10" l="1"/>
  <c r="H54" i="10"/>
  <c r="H51" i="10"/>
  <c r="H50" i="10"/>
  <c r="H49" i="10"/>
  <c r="H47" i="10"/>
  <c r="H45" i="10"/>
  <c r="H43" i="10"/>
  <c r="H41" i="10"/>
  <c r="H39" i="10"/>
  <c r="H38" i="10"/>
  <c r="H37" i="10"/>
  <c r="H35" i="10"/>
  <c r="H33" i="10"/>
  <c r="H31" i="10"/>
  <c r="H29" i="10"/>
  <c r="H27" i="10"/>
  <c r="H26" i="10"/>
  <c r="H25" i="10"/>
  <c r="H23" i="10"/>
  <c r="H21" i="10"/>
  <c r="H19" i="10"/>
  <c r="H17" i="10"/>
  <c r="H15" i="10"/>
  <c r="H12" i="10"/>
  <c r="H31" i="3"/>
  <c r="F63" i="10" l="1"/>
  <c r="F64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<sst xmlns="http://schemas.openxmlformats.org/spreadsheetml/2006/main" count="728" uniqueCount="259">
  <si>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</si>
  <si>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</si>
  <si>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</si>
  <si>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</si>
  <si>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</si>
  <si>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</si>
  <si>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</si>
  <si>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</si>
  <si>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</si>
  <si>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</si>
  <si>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</si>
  <si>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</si>
  <si>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</si>
  <si>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</si>
  <si>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</si>
  <si>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</si>
  <si>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</si>
  <si>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</si>
  <si>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</si>
  <si>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</si>
  <si>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</si>
  <si>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</si>
  <si>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</si>
  <si>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</si>
  <si>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</si>
  <si>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</si>
  <si>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</si>
  <si>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</si>
  <si>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</si>
  <si>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</si>
  <si>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</si>
  <si>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</si>
  <si>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</si>
  <si>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</si>
  <si>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</si>
  <si>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</si>
  <si>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</si>
  <si>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</si>
  <si>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</si>
  <si>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</si>
  <si>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</si>
  <si>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</si>
  <si>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</si>
  <si>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</si>
  <si>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</si>
  <si>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</si>
  <si>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</si>
  <si>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</si>
  <si>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</si>
  <si>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</si>
  <si>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</si>
  <si>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</si>
  <si>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</si>
  <si>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</si>
  <si>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</si>
  <si>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</si>
  <si>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</si>
  <si>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</si>
  <si>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</si>
  <si>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</si>
  <si>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</si>
  <si>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</si>
  <si>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</si>
  <si>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</si>
  <si>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</si>
  <si>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</si>
  <si>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</si>
  <si>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</si>
  <si>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</si>
  <si>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</si>
  <si>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</si>
  <si>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</si>
  <si>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</si>
  <si>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</si>
  <si>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</si>
  <si>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</si>
  <si>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</si>
  <si>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</si>
  <si>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</si>
  <si>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</si>
  <si>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</si>
  <si>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</si>
  <si>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</si>
  <si>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</si>
  <si>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</si>
  <si>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</si>
  <si>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</si>
  <si>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</si>
  <si>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</si>
  <si>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</si>
  <si>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</si>
  <si>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</si>
  <si>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</si>
  <si>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</si>
  <si>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</si>
  <si>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</si>
  <si>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</si>
  <si>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</si>
  <si>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</si>
  <si>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</si>
  <si>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</si>
  <si>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</si>
  <si>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</si>
  <si>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</si>
  <si>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</si>
  <si>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</si>
  <si>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</si>
  <si>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</si>
  <si>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</si>
  <si>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</si>
  <si>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</si>
  <si>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</si>
  <si>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</si>
  <si>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</si>
  <si>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</si>
  <si>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</si>
  <si>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</si>
  <si>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</si>
  <si>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</si>
  <si>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</si>
  <si>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</si>
  <si>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</si>
  <si>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</si>
  <si>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</si>
  <si>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</si>
  <si>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</si>
  <si>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</si>
  <si>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</si>
  <si>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</si>
  <si>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</si>
  <si>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</si>
  <si>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</si>
  <si>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</si>
  <si>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</si>
  <si>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</si>
  <si>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</si>
  <si>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</si>
  <si>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</si>
  <si>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</si>
  <si>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</si>
  <si>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</si>
  <si>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</si>
  <si>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</si>
  <si>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</si>
  <si>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</si>
  <si>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</si>
  <si>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</si>
  <si>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</si>
  <si>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</si>
  <si>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</si>
  <si>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</si>
  <si>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</si>
  <si>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</si>
  <si>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</si>
  <si>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</si>
  <si>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</si>
  <si>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</si>
  <si>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</si>
  <si>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</si>
  <si>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</si>
  <si>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</si>
  <si>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</si>
  <si>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</si>
  <si>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</si>
  <si>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</si>
  <si>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</si>
  <si>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</si>
  <si>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</si>
  <si>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</si>
  <si>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</si>
  <si>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</si>
  <si>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</si>
  <si>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</si>
  <si>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</si>
  <si>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</si>
  <si>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</si>
  <si>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</si>
  <si>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</si>
  <si>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</si>
  <si>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</si>
  <si>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</si>
  <si>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</si>
  <si>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</si>
  <si>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</si>
  <si>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</si>
  <si>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</si>
  <si>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</si>
  <si>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</si>
  <si>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</si>
  <si>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</si>
  <si>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</si>
  <si>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</si>
  <si>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</si>
  <si>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</si>
  <si>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</si>
  <si>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</si>
  <si>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</si>
  <si>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</si>
  <si>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</si>
  <si>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</si>
  <si>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</si>
  <si>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</si>
  <si>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</si>
  <si>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</si>
  <si>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</si>
  <si>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</si>
  <si>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</si>
  <si>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</si>
  <si>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</si>
  <si>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</si>
  <si>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</si>
  <si>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</si>
  <si>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</si>
  <si>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</si>
  <si>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</si>
  <si>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</si>
  <si>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</si>
  <si>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</si>
  <si>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</si>
  <si>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</si>
  <si>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</si>
  <si>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 xml:space="preserve">Worked on and completed Python course before midday meeting where we discussed 3 sections of the course. </t>
  </si>
  <si>
    <t>Started the GitHub actions course, completed section 1 of the course and continued till mid way of section 2. Retrospective meeting consisted of completing the discussion on the Python course.</t>
  </si>
  <si>
    <t>Worked on GitHub Actions course, completed Section 2 and prepared for midday meeting where I presented Sections 1 and 2 to the team.</t>
  </si>
  <si>
    <t>Did research on API's and Project Management Documentation as Bongani asked for. Completed admin work and did some GitHub coursework and code before Retrospective meeting.</t>
  </si>
  <si>
    <t>Continued with Excel course, presented the excel course to the team in the midday meeting after completing it.</t>
  </si>
  <si>
    <t>Started with python course. Sent certificate in to Angela for Excel anf continued with Python course. Left work with permission from Bongani and Clement for religious purposes.</t>
  </si>
  <si>
    <t>Continued with Python course. Midday meeting where we discussed the Python course so far from what we covered.</t>
  </si>
  <si>
    <t>Continued Python course. Followed along with the code and documenting which is why it took longer to complete. Retrospective meeting was more casual</t>
  </si>
  <si>
    <t>Continued with the Python course. Discussed the course in the meeting with Clement.</t>
  </si>
  <si>
    <t>Worked on the python course again. Created new branches on Git to work with the python course and merged to main branch at the end of the day.</t>
  </si>
  <si>
    <t>Reached the advanced stages of the Python course, nearing the end. Midday meeting was continuation of presenting and explaining the python coursework as we go along.</t>
  </si>
  <si>
    <t>Continued using Git, created new branch to work on and merged to main at the end of the day when I was done with the Python practical coursework for the day.</t>
  </si>
  <si>
    <t xml:space="preserve">Worked on Github Actions course. Project was assigned for the week and we discussed the project during Midday meeting. </t>
  </si>
  <si>
    <t xml:space="preserve">Started the project on Day 1. This included setting up the linux environment, no issues encountered here. Continued with Github Actions course. </t>
  </si>
  <si>
    <t>Worked on the project Day 2 work. This included Data cleaning, no issues encountered this far, Midday meeting we discussed our project work.</t>
  </si>
  <si>
    <t>Continued working with Data cleaning, encountered some issues with regards to installing modules on linux environment but eventually sorted it out.</t>
  </si>
  <si>
    <t>Worked on Project Day 3 work which was Data Aggregation and Transformation. Demonstrated work so far to Clement during the Midday meeting and explained any issues encountered.</t>
  </si>
  <si>
    <t>Continued on Day 3 work. Encountered different module issue but fixed it quicker than previous one as I had an idea on what to do. Showed Bongani work this far.</t>
  </si>
  <si>
    <t>Worked on Project Day 4 work. This was to create Excel Pivot Tables on the clean data from Day 3. Midday session was discussing the project, review work.</t>
  </si>
  <si>
    <t>Continued with Excel Pivot Tables. Retrospective meeting we discussed our Python code to Bongani and had to explain how we implemented it.</t>
  </si>
  <si>
    <t>Worked on Project Day 5 work. We created a Dashboard based on the requirements from the Pivot Tables, as well as extra Analytics as we please. Midday meeting was to discuss the project and review work.</t>
  </si>
  <si>
    <t>Continued with the Dashboard creation and analysis. Had trouble finding what data to cover, then it was a matter of adding the small, finer details of the dashboard.</t>
  </si>
  <si>
    <t>Worked on Day 6 of the Project. Fine touches to Dashboard and worked on the Report and Business Analysis section.</t>
  </si>
  <si>
    <t>Continued with Day 6 project and finished up. Made sure all documents and requirements were met before end of day.</t>
  </si>
  <si>
    <t>Continued with the Github Actions course. Recapped on previous work done and then continued. Midday meeting I demonstrated my Project to Clement and the team.</t>
  </si>
  <si>
    <t>Continued with Github Actions course. Completed Sections 3 and mid Section 4 before afternoon meeting where we discussed the course content.</t>
  </si>
  <si>
    <t>Continued with Github Actions and during the Midday meeting we looked at a real-world example of deploying Github Actions.</t>
  </si>
  <si>
    <t>Finished Sections 4 and 5 up from Github Actions course and discussed during the afternoon meeting.</t>
  </si>
  <si>
    <t>Continued with Github Actions course. Completed Sections 6, covered Sections 3 - 5 with Clement Midday.</t>
  </si>
  <si>
    <t>Continued with the course. Continued with Section 7, Covered Sections 6 and 7 in the Retrospective Meeting and discussed Project presentation date.</t>
  </si>
  <si>
    <t>Continued with Github course and prepared the project for presentation as we practiced during Midday meeting with Clement.</t>
  </si>
  <si>
    <t>Continued with Github Course. Met with team to discuss the project presentation, did research on Fixed vs. Growth Mindset and spoke about it during Retrospective meeting.</t>
  </si>
  <si>
    <t>Continued with Github Actions course and worked on it till the Midday Meeting where we completed presenting it.</t>
  </si>
  <si>
    <t>Continued and Completed GitHub Actions course. Practiced our presentation as a group. Retrospective meeting we discussed and viewed presentation.</t>
  </si>
  <si>
    <t>Given a new course to complete.Worked on the SQL course. Met with group to change things slightly with presentation and then practiced.</t>
  </si>
  <si>
    <t>Had a one on one with Clement. Continued with the SQL Course assigned to us. Retrospective meeting we practiced our presentation and got a few last minute tips.</t>
  </si>
  <si>
    <t>Continued with the SQL course. We presented our presentation of the project to Clement.</t>
  </si>
  <si>
    <t>Practiced our presentation one more time before presenting to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</si>
</sst>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96942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775889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67"/>
  <sheetViews>
    <sheetView tabSelected="1" view="pageBreakPreview" topLeftCell="A46" zoomScale="71" zoomScaleNormal="75" workbookViewId="0">
      <selection activeCell="M54" sqref="M54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210</v>
      </c>
      <c r="H5" s="40"/>
    </row>
    <row r="6" spans="1:10" x14ac:dyDescent="0.2">
      <c r="A6" s="37" t="s">
        <v>93</v>
      </c>
      <c r="B6" s="72">
        <f>F62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50.4" x14ac:dyDescent="0.2">
      <c r="A9" s="22">
        <v>46113</v>
      </c>
      <c r="B9" s="22" t="s">
        <v>19</v>
      </c>
      <c r="C9" s="27" t="s">
        <v>125</v>
      </c>
      <c r="D9" s="27"/>
      <c r="E9" s="27" t="s">
        <v>41</v>
      </c>
      <c r="F9" s="27" t="s">
        <v>15</v>
      </c>
      <c r="G9" s="28" t="s">
        <v>225</v>
      </c>
      <c r="H9" s="29">
        <f>J9-I9</f>
        <v>0.19375000000000003</v>
      </c>
      <c r="I9" s="30">
        <v>0.33333333333333331</v>
      </c>
      <c r="J9" s="30">
        <v>0.52708333333333335</v>
      </c>
    </row>
    <row r="10" spans="1:10" ht="63" x14ac:dyDescent="0.2">
      <c r="A10" s="22">
        <v>46113</v>
      </c>
      <c r="B10" s="22" t="s">
        <v>19</v>
      </c>
      <c r="C10" s="27" t="s">
        <v>125</v>
      </c>
      <c r="D10" s="27"/>
      <c r="E10" s="27" t="s">
        <v>41</v>
      </c>
      <c r="F10" s="27" t="s">
        <v>15</v>
      </c>
      <c r="G10" s="28" t="s">
        <v>226</v>
      </c>
      <c r="H10" s="29">
        <f>J10-I10</f>
        <v>0.13958333333333339</v>
      </c>
      <c r="I10" s="30">
        <v>0.56874999999999998</v>
      </c>
      <c r="J10" s="30">
        <v>0.70833333333333337</v>
      </c>
    </row>
    <row r="11" spans="1:10" ht="50.4" x14ac:dyDescent="0.2">
      <c r="A11" s="22">
        <v>46114</v>
      </c>
      <c r="B11" s="22" t="s">
        <v>20</v>
      </c>
      <c r="C11" s="27" t="s">
        <v>125</v>
      </c>
      <c r="D11" s="27"/>
      <c r="E11" s="27" t="s">
        <v>41</v>
      </c>
      <c r="F11" s="27" t="s">
        <v>15</v>
      </c>
      <c r="G11" s="28" t="s">
        <v>227</v>
      </c>
      <c r="H11" s="29">
        <f>J11-I11</f>
        <v>0.19444444444444448</v>
      </c>
      <c r="I11" s="30">
        <v>0.33333333333333331</v>
      </c>
      <c r="J11" s="30">
        <v>0.52777777777777779</v>
      </c>
    </row>
    <row r="12" spans="1:10" ht="63" x14ac:dyDescent="0.2">
      <c r="A12" s="22">
        <v>46114</v>
      </c>
      <c r="B12" s="22" t="s">
        <v>20</v>
      </c>
      <c r="C12" s="27" t="s">
        <v>125</v>
      </c>
      <c r="D12" s="27"/>
      <c r="E12" s="27" t="s">
        <v>41</v>
      </c>
      <c r="F12" s="27" t="s">
        <v>15</v>
      </c>
      <c r="G12" s="28" t="s">
        <v>228</v>
      </c>
      <c r="H12" s="29">
        <f t="shared" ref="H12:H57" si="0">J12-I12</f>
        <v>0.15000000000000002</v>
      </c>
      <c r="I12" s="30">
        <v>0.56944444444444442</v>
      </c>
      <c r="J12" s="30">
        <v>0.71944444444444444</v>
      </c>
    </row>
    <row r="13" spans="1:10" x14ac:dyDescent="0.2">
      <c r="A13" s="47">
        <v>46115</v>
      </c>
      <c r="B13" s="47" t="s">
        <v>11</v>
      </c>
      <c r="C13" s="48" t="s">
        <v>125</v>
      </c>
      <c r="D13" s="48"/>
      <c r="E13" s="48" t="s">
        <v>89</v>
      </c>
      <c r="F13" s="48" t="s">
        <v>15</v>
      </c>
      <c r="G13" s="49" t="s">
        <v>177</v>
      </c>
      <c r="H13" s="50">
        <f t="shared" si="0"/>
        <v>0.33333333333333331</v>
      </c>
      <c r="I13" s="51">
        <v>0.33333333333333331</v>
      </c>
      <c r="J13" s="51">
        <v>0.66666666666666663</v>
      </c>
    </row>
    <row r="14" spans="1:10" x14ac:dyDescent="0.2">
      <c r="A14" s="31">
        <v>46116</v>
      </c>
      <c r="B14" s="31" t="s">
        <v>14</v>
      </c>
      <c r="C14" s="32"/>
      <c r="D14" s="32"/>
      <c r="E14" s="32"/>
      <c r="F14" s="32"/>
      <c r="G14" s="33"/>
      <c r="H14" s="34">
        <f t="shared" ref="H14" si="1">J14-I14</f>
        <v>0</v>
      </c>
      <c r="I14" s="35"/>
      <c r="J14" s="35"/>
    </row>
    <row r="15" spans="1:10" x14ac:dyDescent="0.2">
      <c r="A15" s="31">
        <v>46117</v>
      </c>
      <c r="B15" s="31" t="s">
        <v>16</v>
      </c>
      <c r="C15" s="32"/>
      <c r="D15" s="32"/>
      <c r="E15" s="32"/>
      <c r="F15" s="32"/>
      <c r="G15" s="33"/>
      <c r="H15" s="34">
        <f t="shared" si="0"/>
        <v>0</v>
      </c>
      <c r="I15" s="35"/>
      <c r="J15" s="35"/>
    </row>
    <row r="16" spans="1:10" x14ac:dyDescent="0.2">
      <c r="A16" s="47">
        <v>46118</v>
      </c>
      <c r="B16" s="47" t="s">
        <v>17</v>
      </c>
      <c r="C16" s="48" t="s">
        <v>125</v>
      </c>
      <c r="D16" s="48"/>
      <c r="E16" s="48" t="s">
        <v>89</v>
      </c>
      <c r="F16" s="48" t="s">
        <v>15</v>
      </c>
      <c r="G16" s="49" t="s">
        <v>178</v>
      </c>
      <c r="H16" s="50">
        <f t="shared" ref="H16" si="2">J16-I16</f>
        <v>0.33333333333333331</v>
      </c>
      <c r="I16" s="51">
        <v>0.33333333333333331</v>
      </c>
      <c r="J16" s="51">
        <v>0.66666666666666663</v>
      </c>
    </row>
    <row r="17" spans="1:10" ht="37.799999999999997" x14ac:dyDescent="0.2">
      <c r="A17" s="22">
        <v>46119</v>
      </c>
      <c r="B17" s="22" t="s">
        <v>18</v>
      </c>
      <c r="C17" s="27" t="s">
        <v>125</v>
      </c>
      <c r="D17" s="27"/>
      <c r="E17" s="27" t="s">
        <v>41</v>
      </c>
      <c r="F17" s="27" t="s">
        <v>15</v>
      </c>
      <c r="G17" s="28" t="s">
        <v>229</v>
      </c>
      <c r="H17" s="29">
        <f t="shared" si="0"/>
        <v>0.2048611111111111</v>
      </c>
      <c r="I17" s="30">
        <v>0.33333333333333331</v>
      </c>
      <c r="J17" s="30">
        <v>0.53819444444444442</v>
      </c>
    </row>
    <row r="18" spans="1:10" ht="63" x14ac:dyDescent="0.2">
      <c r="A18" s="22">
        <v>46119</v>
      </c>
      <c r="B18" s="22" t="s">
        <v>18</v>
      </c>
      <c r="C18" s="27" t="s">
        <v>125</v>
      </c>
      <c r="D18" s="27"/>
      <c r="E18" s="27" t="s">
        <v>41</v>
      </c>
      <c r="F18" s="27" t="s">
        <v>15</v>
      </c>
      <c r="G18" s="28" t="s">
        <v>230</v>
      </c>
      <c r="H18" s="29">
        <f t="shared" si="0"/>
        <v>0.17499999999999993</v>
      </c>
      <c r="I18" s="30">
        <v>0.57916666666666672</v>
      </c>
      <c r="J18" s="30">
        <v>0.75416666666666665</v>
      </c>
    </row>
    <row r="19" spans="1:10" ht="63" x14ac:dyDescent="0.2">
      <c r="A19" s="22">
        <v>46120</v>
      </c>
      <c r="B19" s="22" t="s">
        <v>19</v>
      </c>
      <c r="C19" s="27" t="s">
        <v>125</v>
      </c>
      <c r="D19" s="27"/>
      <c r="E19" s="27" t="s">
        <v>41</v>
      </c>
      <c r="F19" s="27" t="s">
        <v>15</v>
      </c>
      <c r="G19" s="28" t="s">
        <v>231</v>
      </c>
      <c r="H19" s="29">
        <f t="shared" si="0"/>
        <v>0.2048611111111111</v>
      </c>
      <c r="I19" s="30">
        <v>0.33333333333333331</v>
      </c>
      <c r="J19" s="30">
        <v>0.53819444444444442</v>
      </c>
    </row>
    <row r="20" spans="1:10" ht="63" x14ac:dyDescent="0.2">
      <c r="A20" s="22">
        <v>46120</v>
      </c>
      <c r="B20" s="22" t="s">
        <v>19</v>
      </c>
      <c r="C20" s="27" t="s">
        <v>125</v>
      </c>
      <c r="D20" s="27"/>
      <c r="E20" s="27" t="s">
        <v>41</v>
      </c>
      <c r="F20" s="27" t="s">
        <v>15</v>
      </c>
      <c r="G20" s="28" t="s">
        <v>232</v>
      </c>
      <c r="H20" s="29">
        <f t="shared" si="0"/>
        <v>0.17499999999999993</v>
      </c>
      <c r="I20" s="30">
        <v>0.57916666666666672</v>
      </c>
      <c r="J20" s="30">
        <v>0.75416666666666665</v>
      </c>
    </row>
    <row r="21" spans="1:10" ht="50.4" x14ac:dyDescent="0.2">
      <c r="A21" s="22">
        <v>46121</v>
      </c>
      <c r="B21" s="22" t="s">
        <v>20</v>
      </c>
      <c r="C21" s="27" t="s">
        <v>125</v>
      </c>
      <c r="D21" s="27"/>
      <c r="E21" s="27" t="s">
        <v>41</v>
      </c>
      <c r="F21" s="27" t="s">
        <v>15</v>
      </c>
      <c r="G21" s="28" t="s">
        <v>221</v>
      </c>
      <c r="H21" s="29">
        <f t="shared" si="0"/>
        <v>0.18680555555555561</v>
      </c>
      <c r="I21" s="30">
        <v>0.33333333333333331</v>
      </c>
      <c r="J21" s="30">
        <v>0.52013888888888893</v>
      </c>
    </row>
    <row r="22" spans="1:10" ht="75.599999999999994" x14ac:dyDescent="0.2">
      <c r="A22" s="22">
        <v>46121</v>
      </c>
      <c r="B22" s="22" t="s">
        <v>20</v>
      </c>
      <c r="C22" s="27" t="s">
        <v>125</v>
      </c>
      <c r="D22" s="27"/>
      <c r="E22" s="27" t="s">
        <v>41</v>
      </c>
      <c r="F22" s="27" t="s">
        <v>15</v>
      </c>
      <c r="G22" s="28" t="s">
        <v>222</v>
      </c>
      <c r="H22" s="29">
        <f t="shared" si="0"/>
        <v>0.16527777777777775</v>
      </c>
      <c r="I22" s="30">
        <v>0.56180555555555556</v>
      </c>
      <c r="J22" s="30">
        <v>0.7270833333333333</v>
      </c>
    </row>
    <row r="23" spans="1:10" ht="63" x14ac:dyDescent="0.2">
      <c r="A23" s="22">
        <v>46122</v>
      </c>
      <c r="B23" s="22" t="s">
        <v>11</v>
      </c>
      <c r="C23" s="27" t="s">
        <v>125</v>
      </c>
      <c r="D23" s="27"/>
      <c r="E23" s="27" t="s">
        <v>41</v>
      </c>
      <c r="F23" s="27" t="s">
        <v>15</v>
      </c>
      <c r="G23" s="28" t="s">
        <v>223</v>
      </c>
      <c r="H23" s="29">
        <f t="shared" si="0"/>
        <v>0.19722222222222224</v>
      </c>
      <c r="I23" s="30">
        <v>0.33333333333333331</v>
      </c>
      <c r="J23" s="30">
        <v>0.53055555555555556</v>
      </c>
    </row>
    <row r="24" spans="1:10" ht="75.599999999999994" x14ac:dyDescent="0.2">
      <c r="A24" s="22">
        <v>46122</v>
      </c>
      <c r="B24" s="22" t="s">
        <v>11</v>
      </c>
      <c r="C24" s="27" t="s">
        <v>125</v>
      </c>
      <c r="D24" s="27"/>
      <c r="E24" s="27" t="s">
        <v>41</v>
      </c>
      <c r="F24" s="27" t="s">
        <v>15</v>
      </c>
      <c r="G24" s="28" t="s">
        <v>224</v>
      </c>
      <c r="H24" s="29">
        <f t="shared" si="0"/>
        <v>0.15763888888888888</v>
      </c>
      <c r="I24" s="30">
        <v>0.57222222222222219</v>
      </c>
      <c r="J24" s="30">
        <v>0.72986111111111107</v>
      </c>
    </row>
    <row r="25" spans="1:10" x14ac:dyDescent="0.2">
      <c r="A25" s="31">
        <v>46123</v>
      </c>
      <c r="B25" s="31" t="s">
        <v>14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31">
        <v>46124</v>
      </c>
      <c r="B26" s="31" t="s">
        <v>16</v>
      </c>
      <c r="C26" s="32"/>
      <c r="D26" s="32"/>
      <c r="E26" s="32"/>
      <c r="F26" s="32"/>
      <c r="G26" s="33"/>
      <c r="H26" s="34">
        <f t="shared" si="0"/>
        <v>0</v>
      </c>
      <c r="I26" s="35"/>
      <c r="J26" s="35"/>
    </row>
    <row r="27" spans="1:10" ht="50.4" x14ac:dyDescent="0.2">
      <c r="A27" s="22">
        <v>46125</v>
      </c>
      <c r="B27" s="22" t="s">
        <v>17</v>
      </c>
      <c r="C27" s="27" t="s">
        <v>125</v>
      </c>
      <c r="D27" s="27"/>
      <c r="E27" s="27" t="s">
        <v>41</v>
      </c>
      <c r="F27" s="27" t="s">
        <v>15</v>
      </c>
      <c r="G27" s="28" t="s">
        <v>233</v>
      </c>
      <c r="H27" s="29">
        <f t="shared" si="0"/>
        <v>0.20208333333333334</v>
      </c>
      <c r="I27" s="30">
        <v>0.33333333333333331</v>
      </c>
      <c r="J27" s="30">
        <v>0.53541666666666665</v>
      </c>
    </row>
    <row r="28" spans="1:10" ht="63" x14ac:dyDescent="0.2">
      <c r="A28" s="22">
        <v>46125</v>
      </c>
      <c r="B28" s="22" t="s">
        <v>17</v>
      </c>
      <c r="C28" s="27" t="s">
        <v>125</v>
      </c>
      <c r="D28" s="27"/>
      <c r="E28" s="27" t="s">
        <v>41</v>
      </c>
      <c r="F28" s="27" t="s">
        <v>15</v>
      </c>
      <c r="G28" s="28" t="s">
        <v>234</v>
      </c>
      <c r="H28" s="29">
        <f t="shared" si="0"/>
        <v>0.13819444444444451</v>
      </c>
      <c r="I28" s="30">
        <v>0.57708333333333328</v>
      </c>
      <c r="J28" s="30">
        <v>0.71527777777777779</v>
      </c>
    </row>
    <row r="29" spans="1:10" ht="63" x14ac:dyDescent="0.2">
      <c r="A29" s="22">
        <v>46126</v>
      </c>
      <c r="B29" s="22" t="s">
        <v>18</v>
      </c>
      <c r="C29" s="27" t="s">
        <v>125</v>
      </c>
      <c r="D29" s="27"/>
      <c r="E29" s="27" t="s">
        <v>41</v>
      </c>
      <c r="F29" s="27" t="s">
        <v>15</v>
      </c>
      <c r="G29" s="28" t="s">
        <v>235</v>
      </c>
      <c r="H29" s="29">
        <f t="shared" si="0"/>
        <v>0.20902777777777776</v>
      </c>
      <c r="I29" s="30">
        <v>0.33333333333333331</v>
      </c>
      <c r="J29" s="30">
        <v>0.54236111111111107</v>
      </c>
    </row>
    <row r="30" spans="1:10" ht="63" x14ac:dyDescent="0.2">
      <c r="A30" s="22">
        <v>46126</v>
      </c>
      <c r="B30" s="22" t="s">
        <v>18</v>
      </c>
      <c r="C30" s="27" t="s">
        <v>125</v>
      </c>
      <c r="D30" s="27"/>
      <c r="E30" s="27" t="s">
        <v>41</v>
      </c>
      <c r="F30" s="27" t="s">
        <v>15</v>
      </c>
      <c r="G30" s="28" t="s">
        <v>236</v>
      </c>
      <c r="H30" s="29">
        <f t="shared" si="0"/>
        <v>0.13055555555555554</v>
      </c>
      <c r="I30" s="30">
        <v>0.58263888888888893</v>
      </c>
      <c r="J30" s="30">
        <v>0.71319444444444446</v>
      </c>
    </row>
    <row r="31" spans="1:10" ht="75.599999999999994" x14ac:dyDescent="0.2">
      <c r="A31" s="22">
        <v>46127</v>
      </c>
      <c r="B31" s="22" t="s">
        <v>19</v>
      </c>
      <c r="C31" s="27" t="s">
        <v>125</v>
      </c>
      <c r="D31" s="27"/>
      <c r="E31" s="27" t="s">
        <v>41</v>
      </c>
      <c r="F31" s="27" t="s">
        <v>15</v>
      </c>
      <c r="G31" s="28" t="s">
        <v>237</v>
      </c>
      <c r="H31" s="29">
        <f t="shared" si="0"/>
        <v>0.2013888888888889</v>
      </c>
      <c r="I31" s="30">
        <v>0.33333333333333331</v>
      </c>
      <c r="J31" s="30">
        <v>0.53472222222222221</v>
      </c>
    </row>
    <row r="32" spans="1:10" ht="63" x14ac:dyDescent="0.2">
      <c r="A32" s="22">
        <v>46127</v>
      </c>
      <c r="B32" s="22" t="s">
        <v>19</v>
      </c>
      <c r="C32" s="27" t="s">
        <v>125</v>
      </c>
      <c r="D32" s="27"/>
      <c r="E32" s="27" t="s">
        <v>41</v>
      </c>
      <c r="F32" s="27" t="s">
        <v>15</v>
      </c>
      <c r="G32" s="28" t="s">
        <v>238</v>
      </c>
      <c r="H32" s="29">
        <f t="shared" si="0"/>
        <v>0.16805555555555562</v>
      </c>
      <c r="I32" s="30">
        <v>0.57708333333333328</v>
      </c>
      <c r="J32" s="30">
        <v>0.74513888888888891</v>
      </c>
    </row>
    <row r="33" spans="1:10" ht="63" x14ac:dyDescent="0.2">
      <c r="A33" s="22">
        <v>46128</v>
      </c>
      <c r="B33" s="22" t="s">
        <v>20</v>
      </c>
      <c r="C33" s="27" t="s">
        <v>125</v>
      </c>
      <c r="D33" s="27"/>
      <c r="E33" s="27" t="s">
        <v>41</v>
      </c>
      <c r="F33" s="27" t="s">
        <v>15</v>
      </c>
      <c r="G33" s="28" t="s">
        <v>239</v>
      </c>
      <c r="H33" s="29">
        <f t="shared" si="0"/>
        <v>0.19861111111111113</v>
      </c>
      <c r="I33" s="30">
        <v>0.33333333333333331</v>
      </c>
      <c r="J33" s="30">
        <v>0.53194444444444444</v>
      </c>
    </row>
    <row r="34" spans="1:10" ht="50.4" x14ac:dyDescent="0.2">
      <c r="A34" s="22">
        <v>46128</v>
      </c>
      <c r="B34" s="22" t="s">
        <v>20</v>
      </c>
      <c r="C34" s="27" t="s">
        <v>125</v>
      </c>
      <c r="D34" s="27"/>
      <c r="E34" s="27" t="s">
        <v>41</v>
      </c>
      <c r="F34" s="27" t="s">
        <v>15</v>
      </c>
      <c r="G34" s="28" t="s">
        <v>240</v>
      </c>
      <c r="H34" s="29">
        <f t="shared" si="0"/>
        <v>0.16527777777777786</v>
      </c>
      <c r="I34" s="30">
        <v>0.57430555555555551</v>
      </c>
      <c r="J34" s="30">
        <v>0.73958333333333337</v>
      </c>
    </row>
    <row r="35" spans="1:10" ht="75.599999999999994" x14ac:dyDescent="0.2">
      <c r="A35" s="22">
        <v>46129</v>
      </c>
      <c r="B35" s="22" t="s">
        <v>11</v>
      </c>
      <c r="C35" s="27" t="s">
        <v>125</v>
      </c>
      <c r="D35" s="27"/>
      <c r="E35" s="27" t="s">
        <v>41</v>
      </c>
      <c r="F35" s="27" t="s">
        <v>15</v>
      </c>
      <c r="G35" s="28" t="s">
        <v>241</v>
      </c>
      <c r="H35" s="29">
        <f t="shared" si="0"/>
        <v>0.2013888888888889</v>
      </c>
      <c r="I35" s="30">
        <v>0.33333333333333331</v>
      </c>
      <c r="J35" s="30">
        <v>0.53472222222222221</v>
      </c>
    </row>
    <row r="36" spans="1:10" ht="63" x14ac:dyDescent="0.2">
      <c r="A36" s="22">
        <v>46129</v>
      </c>
      <c r="B36" s="22" t="s">
        <v>11</v>
      </c>
      <c r="C36" s="27" t="s">
        <v>125</v>
      </c>
      <c r="D36" s="27"/>
      <c r="E36" s="27" t="s">
        <v>41</v>
      </c>
      <c r="F36" s="27" t="s">
        <v>15</v>
      </c>
      <c r="G36" s="28" t="s">
        <v>242</v>
      </c>
      <c r="H36" s="29">
        <f t="shared" si="0"/>
        <v>0.16319444444444453</v>
      </c>
      <c r="I36" s="30">
        <v>0.57638888888888884</v>
      </c>
      <c r="J36" s="30">
        <v>0.73958333333333337</v>
      </c>
    </row>
    <row r="37" spans="1:10" x14ac:dyDescent="0.2">
      <c r="A37" s="31">
        <v>46130</v>
      </c>
      <c r="B37" s="31" t="s">
        <v>14</v>
      </c>
      <c r="C37" s="32"/>
      <c r="D37" s="32"/>
      <c r="E37" s="32"/>
      <c r="F37" s="32"/>
      <c r="G37" s="33"/>
      <c r="H37" s="34">
        <f t="shared" si="0"/>
        <v>0</v>
      </c>
      <c r="I37" s="35"/>
      <c r="J37" s="35"/>
    </row>
    <row r="38" spans="1:10" x14ac:dyDescent="0.2">
      <c r="A38" s="31">
        <v>46131</v>
      </c>
      <c r="B38" s="31" t="s">
        <v>16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50.4" x14ac:dyDescent="0.2">
      <c r="A39" s="22">
        <v>46132</v>
      </c>
      <c r="B39" s="22" t="s">
        <v>17</v>
      </c>
      <c r="C39" s="27" t="s">
        <v>125</v>
      </c>
      <c r="D39" s="27"/>
      <c r="E39" s="27" t="s">
        <v>41</v>
      </c>
      <c r="F39" s="27" t="s">
        <v>15</v>
      </c>
      <c r="G39" s="28" t="s">
        <v>243</v>
      </c>
      <c r="H39" s="29">
        <f t="shared" si="0"/>
        <v>0.20208333333333334</v>
      </c>
      <c r="I39" s="30">
        <v>0.33333333333333331</v>
      </c>
      <c r="J39" s="30">
        <v>0.53541666666666665</v>
      </c>
    </row>
    <row r="40" spans="1:10" ht="50.4" x14ac:dyDescent="0.2">
      <c r="A40" s="22">
        <v>46132</v>
      </c>
      <c r="B40" s="22" t="s">
        <v>17</v>
      </c>
      <c r="C40" s="27" t="s">
        <v>125</v>
      </c>
      <c r="D40" s="27"/>
      <c r="E40" s="27" t="s">
        <v>41</v>
      </c>
      <c r="F40" s="27" t="s">
        <v>15</v>
      </c>
      <c r="G40" s="28" t="s">
        <v>244</v>
      </c>
      <c r="H40" s="29">
        <f t="shared" si="0"/>
        <v>0.14236111111111116</v>
      </c>
      <c r="I40" s="30">
        <v>0.57708333333333328</v>
      </c>
      <c r="J40" s="30">
        <v>0.71944444444444444</v>
      </c>
    </row>
    <row r="41" spans="1:10" ht="63" x14ac:dyDescent="0.2">
      <c r="A41" s="22">
        <v>46133</v>
      </c>
      <c r="B41" s="22" t="s">
        <v>18</v>
      </c>
      <c r="C41" s="27" t="s">
        <v>125</v>
      </c>
      <c r="D41" s="27"/>
      <c r="E41" s="27" t="s">
        <v>41</v>
      </c>
      <c r="F41" s="27" t="s">
        <v>15</v>
      </c>
      <c r="G41" s="40" t="s">
        <v>245</v>
      </c>
      <c r="H41" s="29">
        <f t="shared" si="0"/>
        <v>0.19722222222222224</v>
      </c>
      <c r="I41" s="30">
        <v>0.33333333333333331</v>
      </c>
      <c r="J41" s="30">
        <v>0.53055555555555556</v>
      </c>
    </row>
    <row r="42" spans="1:10" ht="63" x14ac:dyDescent="0.2">
      <c r="A42" s="22">
        <v>46133</v>
      </c>
      <c r="B42" s="22" t="s">
        <v>18</v>
      </c>
      <c r="C42" s="27" t="s">
        <v>125</v>
      </c>
      <c r="D42" s="27"/>
      <c r="E42" s="27" t="s">
        <v>41</v>
      </c>
      <c r="F42" s="27" t="s">
        <v>15</v>
      </c>
      <c r="G42" s="28" t="s">
        <v>246</v>
      </c>
      <c r="H42" s="29">
        <f t="shared" si="0"/>
        <v>0.13958333333333339</v>
      </c>
      <c r="I42" s="30">
        <v>0.57222222222222219</v>
      </c>
      <c r="J42" s="30">
        <v>0.71180555555555558</v>
      </c>
    </row>
    <row r="43" spans="1:10" ht="50.4" x14ac:dyDescent="0.2">
      <c r="A43" s="22">
        <v>46134</v>
      </c>
      <c r="B43" s="22" t="s">
        <v>19</v>
      </c>
      <c r="C43" s="27" t="s">
        <v>125</v>
      </c>
      <c r="D43" s="27"/>
      <c r="E43" s="27" t="s">
        <v>41</v>
      </c>
      <c r="F43" s="27" t="s">
        <v>15</v>
      </c>
      <c r="G43" s="28" t="s">
        <v>247</v>
      </c>
      <c r="H43" s="29">
        <f t="shared" si="0"/>
        <v>0.2048611111111111</v>
      </c>
      <c r="I43" s="30">
        <v>0.33333333333333331</v>
      </c>
      <c r="J43" s="30">
        <v>0.53819444444444442</v>
      </c>
    </row>
    <row r="44" spans="1:10" ht="37.799999999999997" x14ac:dyDescent="0.2">
      <c r="A44" s="22">
        <v>46134</v>
      </c>
      <c r="B44" s="22" t="s">
        <v>19</v>
      </c>
      <c r="C44" s="27" t="s">
        <v>125</v>
      </c>
      <c r="D44" s="27"/>
      <c r="E44" s="27" t="s">
        <v>41</v>
      </c>
      <c r="F44" s="27" t="s">
        <v>15</v>
      </c>
      <c r="G44" s="28" t="s">
        <v>248</v>
      </c>
      <c r="H44" s="29">
        <f t="shared" si="0"/>
        <v>0.13749999999999996</v>
      </c>
      <c r="I44" s="30">
        <v>0.57986111111111116</v>
      </c>
      <c r="J44" s="30">
        <v>0.71736111111111112</v>
      </c>
    </row>
    <row r="45" spans="1:10" ht="50.4" x14ac:dyDescent="0.2">
      <c r="A45" s="22">
        <v>46135</v>
      </c>
      <c r="B45" s="22" t="s">
        <v>20</v>
      </c>
      <c r="C45" s="27" t="s">
        <v>125</v>
      </c>
      <c r="D45" s="27"/>
      <c r="E45" s="27" t="s">
        <v>41</v>
      </c>
      <c r="F45" s="27" t="s">
        <v>15</v>
      </c>
      <c r="G45" s="28" t="s">
        <v>249</v>
      </c>
      <c r="H45" s="29">
        <f t="shared" si="0"/>
        <v>0.2</v>
      </c>
      <c r="I45" s="30">
        <v>0.33333333333333331</v>
      </c>
      <c r="J45" s="30">
        <v>0.53333333333333333</v>
      </c>
    </row>
    <row r="46" spans="1:10" ht="63" x14ac:dyDescent="0.2">
      <c r="A46" s="22">
        <v>46135</v>
      </c>
      <c r="B46" s="22" t="s">
        <v>20</v>
      </c>
      <c r="C46" s="27" t="s">
        <v>125</v>
      </c>
      <c r="D46" s="27"/>
      <c r="E46" s="27" t="s">
        <v>41</v>
      </c>
      <c r="F46" s="27" t="s">
        <v>15</v>
      </c>
      <c r="G46" s="28" t="s">
        <v>250</v>
      </c>
      <c r="H46" s="29">
        <f t="shared" si="0"/>
        <v>0.1347222222222223</v>
      </c>
      <c r="I46" s="30">
        <v>0.57499999999999996</v>
      </c>
      <c r="J46" s="30">
        <v>0.70972222222222225</v>
      </c>
    </row>
    <row r="47" spans="1:10" ht="50.4" x14ac:dyDescent="0.2">
      <c r="A47" s="22">
        <v>46136</v>
      </c>
      <c r="B47" s="22" t="s">
        <v>11</v>
      </c>
      <c r="C47" s="27" t="s">
        <v>125</v>
      </c>
      <c r="D47" s="27"/>
      <c r="E47" s="27" t="s">
        <v>41</v>
      </c>
      <c r="F47" s="27" t="s">
        <v>15</v>
      </c>
      <c r="G47" s="28" t="s">
        <v>251</v>
      </c>
      <c r="H47" s="29">
        <f t="shared" si="0"/>
        <v>0.2</v>
      </c>
      <c r="I47" s="30">
        <v>0.33333333333333331</v>
      </c>
      <c r="J47" s="30">
        <v>0.53333333333333333</v>
      </c>
    </row>
    <row r="48" spans="1:10" ht="63" x14ac:dyDescent="0.2">
      <c r="A48" s="22">
        <v>46136</v>
      </c>
      <c r="B48" s="22" t="s">
        <v>11</v>
      </c>
      <c r="C48" s="27" t="s">
        <v>125</v>
      </c>
      <c r="D48" s="27"/>
      <c r="E48" s="27" t="s">
        <v>41</v>
      </c>
      <c r="F48" s="27" t="s">
        <v>15</v>
      </c>
      <c r="G48" s="28" t="s">
        <v>252</v>
      </c>
      <c r="H48" s="29">
        <f t="shared" si="0"/>
        <v>0.15555555555555556</v>
      </c>
      <c r="I48" s="30">
        <v>0.57499999999999996</v>
      </c>
      <c r="J48" s="30">
        <v>0.73055555555555551</v>
      </c>
    </row>
    <row r="49" spans="1:10" x14ac:dyDescent="0.2">
      <c r="A49" s="31">
        <v>46137</v>
      </c>
      <c r="B49" s="31" t="s">
        <v>14</v>
      </c>
      <c r="C49" s="32"/>
      <c r="D49" s="32"/>
      <c r="E49" s="32"/>
      <c r="F49" s="32"/>
      <c r="G49" s="33"/>
      <c r="H49" s="34">
        <f t="shared" si="0"/>
        <v>0</v>
      </c>
      <c r="I49" s="35"/>
      <c r="J49" s="35"/>
    </row>
    <row r="50" spans="1:10" x14ac:dyDescent="0.2">
      <c r="A50" s="31">
        <v>46138</v>
      </c>
      <c r="B50" s="31" t="s">
        <v>16</v>
      </c>
      <c r="C50" s="32"/>
      <c r="D50" s="32"/>
      <c r="E50" s="32"/>
      <c r="F50" s="32"/>
      <c r="G50" s="33"/>
      <c r="H50" s="34">
        <f t="shared" si="0"/>
        <v>0</v>
      </c>
      <c r="I50" s="35"/>
      <c r="J50" s="35"/>
    </row>
    <row r="51" spans="1:10" x14ac:dyDescent="0.2">
      <c r="A51" s="47">
        <v>46139</v>
      </c>
      <c r="B51" s="47" t="s">
        <v>17</v>
      </c>
      <c r="C51" s="48" t="s">
        <v>125</v>
      </c>
      <c r="D51" s="48"/>
      <c r="E51" s="48" t="s">
        <v>89</v>
      </c>
      <c r="F51" s="48" t="s">
        <v>15</v>
      </c>
      <c r="G51" s="49" t="s">
        <v>179</v>
      </c>
      <c r="H51" s="50">
        <f t="shared" si="0"/>
        <v>0.33333333333333331</v>
      </c>
      <c r="I51" s="51">
        <v>0.33333333333333331</v>
      </c>
      <c r="J51" s="51">
        <v>0.66666666666666663</v>
      </c>
    </row>
    <row r="52" spans="1:10" ht="50.4" x14ac:dyDescent="0.2">
      <c r="A52" s="22">
        <v>46140</v>
      </c>
      <c r="B52" s="22" t="s">
        <v>18</v>
      </c>
      <c r="C52" s="27" t="s">
        <v>125</v>
      </c>
      <c r="D52" s="27"/>
      <c r="E52" s="27" t="s">
        <v>41</v>
      </c>
      <c r="F52" s="27" t="s">
        <v>15</v>
      </c>
      <c r="G52" s="28" t="s">
        <v>253</v>
      </c>
      <c r="H52" s="29">
        <f>J52-I52</f>
        <v>0.2013888888888889</v>
      </c>
      <c r="I52" s="30">
        <v>0.33333333333333331</v>
      </c>
      <c r="J52" s="30">
        <v>0.53472222222222221</v>
      </c>
    </row>
    <row r="53" spans="1:10" ht="63" x14ac:dyDescent="0.2">
      <c r="A53" s="22">
        <v>46140</v>
      </c>
      <c r="B53" s="22" t="s">
        <v>18</v>
      </c>
      <c r="C53" s="27" t="s">
        <v>125</v>
      </c>
      <c r="D53" s="27"/>
      <c r="E53" s="27" t="s">
        <v>41</v>
      </c>
      <c r="F53" s="27" t="s">
        <v>15</v>
      </c>
      <c r="G53" s="28" t="s">
        <v>254</v>
      </c>
      <c r="H53" s="29">
        <f>J53-I53</f>
        <v>0.13402777777777786</v>
      </c>
      <c r="I53" s="30">
        <v>0.5756944444444444</v>
      </c>
      <c r="J53" s="30">
        <v>0.70972222222222225</v>
      </c>
    </row>
    <row r="54" spans="1:10" ht="63" x14ac:dyDescent="0.2">
      <c r="A54" s="22">
        <v>46141</v>
      </c>
      <c r="B54" s="22" t="s">
        <v>19</v>
      </c>
      <c r="C54" s="27" t="s">
        <v>125</v>
      </c>
      <c r="D54" s="27"/>
      <c r="E54" s="27" t="s">
        <v>41</v>
      </c>
      <c r="F54" s="27" t="s">
        <v>15</v>
      </c>
      <c r="G54" s="28" t="s">
        <v>255</v>
      </c>
      <c r="H54" s="29">
        <f>J54-I54</f>
        <v>0.16944444444444445</v>
      </c>
      <c r="I54" s="30">
        <v>0.33333333333333331</v>
      </c>
      <c r="J54" s="30">
        <v>0.50277777777777777</v>
      </c>
    </row>
    <row r="55" spans="1:10" ht="75.599999999999994" x14ac:dyDescent="0.2">
      <c r="A55" s="22">
        <v>46141</v>
      </c>
      <c r="B55" s="22" t="s">
        <v>19</v>
      </c>
      <c r="C55" s="27" t="s">
        <v>125</v>
      </c>
      <c r="D55" s="27"/>
      <c r="E55" s="27" t="s">
        <v>41</v>
      </c>
      <c r="F55" s="27" t="s">
        <v>15</v>
      </c>
      <c r="G55" s="28" t="s">
        <v>256</v>
      </c>
      <c r="H55" s="29">
        <f>J55-I55</f>
        <v>0.17222222222222228</v>
      </c>
      <c r="I55" s="30">
        <v>0.54097222222222219</v>
      </c>
      <c r="J55" s="30">
        <v>0.71319444444444446</v>
      </c>
    </row>
    <row r="56" spans="1:10" ht="37.799999999999997" x14ac:dyDescent="0.2">
      <c r="A56" s="22">
        <v>46142</v>
      </c>
      <c r="B56" s="22" t="s">
        <v>20</v>
      </c>
      <c r="C56" s="27" t="s">
        <v>125</v>
      </c>
      <c r="D56" s="27"/>
      <c r="E56" s="27" t="s">
        <v>41</v>
      </c>
      <c r="F56" s="27" t="s">
        <v>15</v>
      </c>
      <c r="G56" s="28" t="s">
        <v>257</v>
      </c>
      <c r="H56" s="29">
        <f>J56-I56</f>
        <v>0.20347222222222222</v>
      </c>
      <c r="I56" s="30">
        <v>0.33333333333333331</v>
      </c>
      <c r="J56" s="30">
        <v>0.53680555555555554</v>
      </c>
    </row>
    <row r="57" spans="1:10" ht="37.799999999999997" x14ac:dyDescent="0.2">
      <c r="A57" s="22">
        <v>46142</v>
      </c>
      <c r="B57" s="22" t="s">
        <v>20</v>
      </c>
      <c r="C57" s="27" t="s">
        <v>125</v>
      </c>
      <c r="D57" s="27"/>
      <c r="E57" s="27" t="s">
        <v>41</v>
      </c>
      <c r="F57" s="27" t="s">
        <v>15</v>
      </c>
      <c r="G57" s="28" t="s">
        <v>258</v>
      </c>
      <c r="H57" s="29">
        <f t="shared" si="0"/>
        <v>0.14236111111111105</v>
      </c>
      <c r="I57" s="30">
        <v>0.57916666666666672</v>
      </c>
      <c r="J57" s="30">
        <v>0.72152777777777777</v>
      </c>
    </row>
    <row r="58" spans="1:10" ht="13.95" customHeight="1" thickBot="1" x14ac:dyDescent="0.25">
      <c r="A58" s="46"/>
      <c r="B58" s="46"/>
      <c r="G58" s="40"/>
      <c r="H58" s="64"/>
      <c r="I58" s="65"/>
      <c r="J58" s="65"/>
    </row>
    <row r="59" spans="1:10" ht="13.95" customHeight="1" x14ac:dyDescent="0.25">
      <c r="A59" s="4"/>
      <c r="B59" s="4"/>
      <c r="C59" s="5"/>
      <c r="D59" s="6"/>
      <c r="E59" s="7" t="s">
        <v>21</v>
      </c>
      <c r="F59" s="8">
        <v>152</v>
      </c>
      <c r="H59" s="40"/>
    </row>
    <row r="60" spans="1:10" ht="13.95" customHeight="1" thickBot="1" x14ac:dyDescent="0.3">
      <c r="A60" s="4"/>
      <c r="B60" s="4"/>
      <c r="C60" s="9"/>
      <c r="D60" s="2"/>
      <c r="E60" s="10" t="s">
        <v>22</v>
      </c>
      <c r="F60" s="11">
        <v>19</v>
      </c>
      <c r="H60" s="40"/>
    </row>
    <row r="61" spans="1:10" ht="13.95" customHeight="1" thickBot="1" x14ac:dyDescent="0.3">
      <c r="A61" s="122" t="s">
        <v>23</v>
      </c>
      <c r="B61" s="122"/>
      <c r="C61" s="122"/>
      <c r="D61" s="12"/>
      <c r="E61" s="2"/>
      <c r="F61" s="2"/>
      <c r="H61" s="40"/>
    </row>
    <row r="62" spans="1:10" ht="13.8" x14ac:dyDescent="0.25">
      <c r="A62" s="13"/>
      <c r="B62" s="13"/>
      <c r="C62" s="6"/>
      <c r="D62" s="6"/>
      <c r="E62" s="14" t="s">
        <v>24</v>
      </c>
      <c r="F62" s="15">
        <f>SUMIF(F9:F57,"Billable",H9:H57)</f>
        <v>0</v>
      </c>
      <c r="H62" s="38"/>
    </row>
    <row r="63" spans="1:10" ht="15" customHeight="1" thickBot="1" x14ac:dyDescent="0.3">
      <c r="A63" s="123" t="s">
        <v>25</v>
      </c>
      <c r="B63" s="123"/>
      <c r="C63" s="123"/>
      <c r="D63" s="16"/>
      <c r="E63" s="17" t="s">
        <v>26</v>
      </c>
      <c r="F63" s="18">
        <f>SUMIF(F9:F57,"Non-Billable",H9:H57)</f>
        <v>7.6590277777777782</v>
      </c>
      <c r="H63" s="40"/>
    </row>
    <row r="64" spans="1:10" ht="14.4" thickBot="1" x14ac:dyDescent="0.3">
      <c r="A64" s="2"/>
      <c r="B64" s="2"/>
      <c r="C64" s="2"/>
      <c r="D64" s="2"/>
      <c r="E64" s="19" t="s">
        <v>27</v>
      </c>
      <c r="F64" s="44">
        <f>F62+F63</f>
        <v>7.6590277777777782</v>
      </c>
      <c r="H64" s="40"/>
    </row>
    <row r="65" spans="1:8" ht="13.8" thickBot="1" x14ac:dyDescent="0.3">
      <c r="A65" s="2"/>
      <c r="B65" s="2"/>
      <c r="C65" s="2"/>
      <c r="D65" s="2"/>
      <c r="E65" s="2"/>
      <c r="F65" s="2"/>
      <c r="H65" s="40"/>
    </row>
    <row r="66" spans="1:8" ht="13.8" thickBot="1" x14ac:dyDescent="0.3">
      <c r="A66" s="2"/>
      <c r="B66" s="2"/>
      <c r="C66" s="2"/>
      <c r="D66" s="2"/>
      <c r="E66" s="20" t="s">
        <v>28</v>
      </c>
      <c r="F66" s="21"/>
      <c r="H66" s="40"/>
    </row>
    <row r="67" spans="1:8" ht="13.2" thickBot="1" x14ac:dyDescent="0.25">
      <c r="E67" s="39"/>
      <c r="H67" s="40"/>
    </row>
  </sheetData>
  <mergeCells count="2">
    <mergeCell ref="A61:C61"/>
    <mergeCell ref="A63:C63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67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59:E59 D61:E63 E66">
    <cfRule type="containsText" dxfId="86" priority="3" operator="containsText" text="Religious Leave">
      <formula>NOT(ISERROR(SEARCH("Religious Leave",D59)))</formula>
    </cfRule>
    <cfRule type="containsText" dxfId="85" priority="4" operator="containsText" text="Birthday Leave">
      <formula>NOT(ISERROR(SEARCH("Birthday Leave",D59)))</formula>
    </cfRule>
    <cfRule type="containsText" dxfId="84" priority="5" operator="containsText" text="Study Leave">
      <formula>NOT(ISERROR(SEARCH("Study Leave",D59)))</formula>
    </cfRule>
    <cfRule type="containsText" dxfId="83" priority="6" operator="containsText" text="Family Responsibility Leave">
      <formula>NOT(ISERROR(SEARCH("Family Responsibility Leave",D59)))</formula>
    </cfRule>
    <cfRule type="containsText" dxfId="82" priority="7" operator="containsText" text="Sick Leave">
      <formula>NOT(ISERROR(SEARCH("Sick Leave",D59)))</formula>
    </cfRule>
    <cfRule type="containsText" dxfId="81" priority="8" operator="containsText" text="Annual Leave">
      <formula>NOT(ISERROR(SEARCH("Annual Leave",D59)))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58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F9:F58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E9:E58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topLeftCell="A5" zoomScale="82" zoomScaleNormal="60" workbookViewId="0">
      <selection activeCell="D7" sqref="D7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 t="s">
        <v>106</v>
      </c>
      <c r="E12" s="27" t="s">
        <v>31</v>
      </c>
      <c r="F12" s="27" t="s">
        <v>13</v>
      </c>
      <c r="G12" s="28" t="s">
        <v>107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5">
      <c r="A39" s="31">
        <v>46173</v>
      </c>
      <c r="B39" s="31" t="s">
        <v>16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2" t="s">
        <v>23</v>
      </c>
      <c r="B43" s="122"/>
      <c r="C43" s="122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3" t="s">
        <v>25</v>
      </c>
      <c r="B45" s="123"/>
      <c r="C45" s="123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2" t="s">
        <v>23</v>
      </c>
      <c r="B42" s="122"/>
      <c r="C42" s="122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3" t="s">
        <v>25</v>
      </c>
      <c r="B44" s="123"/>
      <c r="C44" s="123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2" t="s">
        <v>166</v>
      </c>
      <c r="B8" s="132"/>
      <c r="C8" s="132"/>
      <c r="D8" s="132"/>
      <c r="E8" s="132"/>
      <c r="F8" s="132"/>
    </row>
    <row r="9" spans="1:15" ht="13.5" customHeight="1" thickBot="1" x14ac:dyDescent="0.25">
      <c r="A9" s="82" t="s">
        <v>170</v>
      </c>
      <c r="B9" s="135" t="s">
        <v>167</v>
      </c>
      <c r="C9" s="136"/>
      <c r="D9" s="135" t="s">
        <v>94</v>
      </c>
      <c r="E9" s="136"/>
      <c r="F9" s="83" t="s">
        <v>95</v>
      </c>
    </row>
    <row r="10" spans="1:15" x14ac:dyDescent="0.2">
      <c r="A10" s="78">
        <v>46113</v>
      </c>
      <c r="B10" s="126" t="s">
        <v>168</v>
      </c>
      <c r="C10" s="126"/>
      <c r="D10" s="126" t="s">
        <v>123</v>
      </c>
      <c r="E10" s="126"/>
      <c r="F10" s="77">
        <v>200</v>
      </c>
      <c r="G10" s="133" t="s">
        <v>169</v>
      </c>
      <c r="H10" s="134"/>
      <c r="I10" s="134"/>
      <c r="J10" s="134"/>
      <c r="K10" s="134"/>
      <c r="L10" s="134"/>
      <c r="M10" s="134"/>
      <c r="N10" s="134"/>
      <c r="O10" s="134"/>
    </row>
    <row r="11" spans="1:15" x14ac:dyDescent="0.2">
      <c r="A11" s="78">
        <v>46113</v>
      </c>
      <c r="B11" s="124" t="s">
        <v>171</v>
      </c>
      <c r="C11" s="125"/>
      <c r="D11" s="126" t="s">
        <v>128</v>
      </c>
      <c r="E11" s="126"/>
      <c r="F11" s="77"/>
    </row>
    <row r="12" spans="1:15" x14ac:dyDescent="0.2">
      <c r="A12" s="78">
        <v>46113</v>
      </c>
      <c r="B12" s="124" t="s">
        <v>172</v>
      </c>
      <c r="C12" s="125"/>
      <c r="D12" s="126"/>
      <c r="E12" s="126"/>
      <c r="F12" s="77"/>
    </row>
    <row r="13" spans="1:15" x14ac:dyDescent="0.2">
      <c r="A13" s="78">
        <v>46113</v>
      </c>
      <c r="B13" s="124"/>
      <c r="C13" s="125"/>
      <c r="D13" s="126"/>
      <c r="E13" s="126"/>
      <c r="F13" s="77"/>
    </row>
    <row r="14" spans="1:15" x14ac:dyDescent="0.2">
      <c r="A14" s="78">
        <v>46113</v>
      </c>
      <c r="B14" s="124"/>
      <c r="C14" s="125"/>
      <c r="D14" s="126"/>
      <c r="E14" s="126"/>
      <c r="F14" s="77"/>
    </row>
    <row r="15" spans="1:15" x14ac:dyDescent="0.2">
      <c r="A15" s="78">
        <v>46113</v>
      </c>
      <c r="B15" s="130"/>
      <c r="C15" s="131"/>
      <c r="D15" s="126"/>
      <c r="E15" s="126"/>
      <c r="F15" s="77"/>
    </row>
    <row r="16" spans="1:15" ht="13.2" thickBot="1" x14ac:dyDescent="0.25">
      <c r="A16" s="78">
        <v>46113</v>
      </c>
      <c r="B16" s="124"/>
      <c r="C16" s="125"/>
      <c r="D16" s="126"/>
      <c r="E16" s="126"/>
      <c r="F16" s="77"/>
    </row>
    <row r="17" spans="1:6" ht="13.5" customHeight="1" thickBot="1" x14ac:dyDescent="0.25">
      <c r="A17" s="127" t="s">
        <v>96</v>
      </c>
      <c r="B17" s="128"/>
      <c r="C17" s="128"/>
      <c r="D17" s="128"/>
      <c r="E17" s="129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H13" sqref="H13"/>
    </sheetView>
  </sheetViews>
  <sheetFormatPr defaultColWidth="8.69921875" defaultRowHeight="12.6" x14ac:dyDescent="0.2"/>
  <cols>
    <col min="1" max="1" width="15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37"/>
      <c r="B4" s="137"/>
    </row>
    <row r="5" spans="1:6" x14ac:dyDescent="0.2">
      <c r="A5" s="37" t="s">
        <v>2</v>
      </c>
      <c r="B5" s="23" t="s">
        <v>106</v>
      </c>
    </row>
    <row r="6" spans="1:6" x14ac:dyDescent="0.2">
      <c r="A6" s="79" t="s">
        <v>174</v>
      </c>
      <c r="B6" s="79"/>
    </row>
    <row r="7" spans="1:6" x14ac:dyDescent="0.2">
      <c r="A7" s="95" t="s">
        <v>175</v>
      </c>
      <c r="B7" s="95"/>
    </row>
    <row r="8" spans="1:6" x14ac:dyDescent="0.2">
      <c r="A8" s="96"/>
      <c r="B8" s="85"/>
    </row>
    <row r="9" spans="1:6" ht="27.45" customHeight="1" x14ac:dyDescent="0.2">
      <c r="A9" s="150" t="s">
        <v>173</v>
      </c>
      <c r="B9" s="150"/>
      <c r="C9" s="150"/>
      <c r="D9" s="150"/>
      <c r="E9" s="150"/>
      <c r="F9" s="150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/>
      <c r="C11" s="117"/>
      <c r="D11" s="87"/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0</v>
      </c>
      <c r="E14" s="89"/>
      <c r="F14" s="91"/>
    </row>
    <row r="15" spans="1:6" ht="13.2" thickBot="1" x14ac:dyDescent="0.25">
      <c r="A15" s="141"/>
      <c r="B15" s="142"/>
      <c r="C15" s="142"/>
      <c r="D15" s="142"/>
      <c r="E15" s="142"/>
      <c r="F15" s="142"/>
    </row>
    <row r="16" spans="1:6" x14ac:dyDescent="0.2">
      <c r="A16" s="151" t="s">
        <v>103</v>
      </c>
      <c r="B16" s="152"/>
      <c r="C16" s="152"/>
      <c r="D16" s="152"/>
      <c r="E16" s="152"/>
      <c r="F16" s="153"/>
    </row>
    <row r="17" spans="1:6" x14ac:dyDescent="0.2">
      <c r="A17" s="138"/>
      <c r="B17" s="139"/>
      <c r="C17" s="139"/>
      <c r="D17" s="139"/>
      <c r="E17" s="139"/>
      <c r="F17" s="140"/>
    </row>
    <row r="18" spans="1:6" x14ac:dyDescent="0.2">
      <c r="A18" s="138"/>
      <c r="B18" s="139"/>
      <c r="C18" s="139"/>
      <c r="D18" s="139"/>
      <c r="E18" s="139"/>
      <c r="F18" s="140"/>
    </row>
    <row r="19" spans="1:6" ht="13.2" thickBot="1" x14ac:dyDescent="0.25">
      <c r="A19" s="141"/>
      <c r="B19" s="142"/>
      <c r="C19" s="142"/>
      <c r="D19" s="142"/>
      <c r="E19" s="142"/>
      <c r="F19" s="143"/>
    </row>
    <row r="20" spans="1:6" ht="13.2" thickBot="1" x14ac:dyDescent="0.25"/>
    <row r="21" spans="1:6" x14ac:dyDescent="0.2">
      <c r="A21" s="92" t="s">
        <v>0</v>
      </c>
      <c r="B21" s="144"/>
      <c r="C21" s="144"/>
      <c r="D21" s="144"/>
      <c r="E21" s="144"/>
      <c r="F21" s="145"/>
    </row>
    <row r="22" spans="1:6" x14ac:dyDescent="0.2">
      <c r="A22" s="93" t="s">
        <v>104</v>
      </c>
      <c r="B22" s="146"/>
      <c r="C22" s="146"/>
      <c r="D22" s="146"/>
      <c r="E22" s="146"/>
      <c r="F22" s="147"/>
    </row>
    <row r="23" spans="1:6" ht="13.2" thickBot="1" x14ac:dyDescent="0.25">
      <c r="A23" s="94" t="s">
        <v>105</v>
      </c>
      <c r="B23" s="148"/>
      <c r="C23" s="148"/>
      <c r="D23" s="148"/>
      <c r="E23" s="148"/>
      <c r="F23" s="149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33" zoomScale="84"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5076C2-3F5A-4B27-B38F-14C2A1713315}"/>
</file>

<file path=customXml/itemProps2.xml><?xml version="1.0" encoding="utf-8"?>
<ds:datastoreItem xmlns:ds="http://schemas.openxmlformats.org/officeDocument/2006/customXml" ds:itemID="{102DFEED-5882-475F-931A-93A07BAC9F64}"/>
</file>

<file path=customXml/itemProps3.xml><?xml version="1.0" encoding="utf-8"?>
<ds:datastoreItem xmlns:ds="http://schemas.openxmlformats.org/officeDocument/2006/customXml" ds:itemID="{AAE41044-AF1E-419B-9660-D185348D2CD7}"/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Rushil Jivan</cp:lastModifiedBy>
  <dcterms:created xsi:type="dcterms:W3CDTF">2020-04-02T09:04:10Z</dcterms:created>
  <dcterms:modified xsi:type="dcterms:W3CDTF">2026-05-01T15:18:34Z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