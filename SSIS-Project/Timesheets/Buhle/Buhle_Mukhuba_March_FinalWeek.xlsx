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sc_TeolanGovender_2026\SSIS-Project\Timesheets\Buhle\"/>
    </mc:Choice>
  </mc:AlternateContent>
  <xr:revisionPtr revIDLastSave="0" documentId="13_ncr:1_{7E531877-99BB-4008-B1F2-A257D126D609}" xr6:coauthVersionLast="47" xr6:coauthVersionMax="47" xr10:uidLastSave="{00000000-0000-0000-0000-000000000000}"/>
  <bookViews>
    <workbookView xWindow="-120" yWindow="-120" windowWidth="29040" windowHeight="15720" xr2:uid="{1C8F8026-B005-4B08-94D3-371A77F74D8F}"/>
  </bookViews>
  <sheets>
    <sheet name="Mar" sheetId="6" r:id="rId1"/>
    <sheet name="Ke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76" i="6" l="1"/>
  <c r="H175" i="6"/>
  <c r="H174" i="6"/>
  <c r="H173" i="6"/>
  <c r="H172" i="6"/>
  <c r="H171" i="6"/>
  <c r="H170" i="6"/>
  <c r="H169" i="6"/>
  <c r="H168" i="6"/>
  <c r="H167" i="6"/>
  <c r="H166" i="6"/>
  <c r="H162" i="6"/>
  <c r="H161" i="6"/>
  <c r="H160" i="6"/>
  <c r="H159" i="6"/>
  <c r="H158" i="6"/>
  <c r="H157" i="6"/>
  <c r="H156" i="6"/>
  <c r="H155" i="6"/>
  <c r="H153" i="6"/>
  <c r="H152" i="6"/>
  <c r="H151" i="6"/>
  <c r="H150" i="6"/>
  <c r="H149" i="6"/>
  <c r="H148" i="6"/>
  <c r="H147" i="6"/>
  <c r="H146" i="6"/>
  <c r="H144" i="6"/>
  <c r="H143" i="6"/>
  <c r="H142" i="6"/>
  <c r="H141" i="6"/>
  <c r="H140" i="6"/>
  <c r="H139" i="6"/>
  <c r="H138" i="6"/>
  <c r="H137" i="6"/>
  <c r="H136" i="6"/>
  <c r="H134" i="6"/>
  <c r="H135" i="6"/>
  <c r="H133" i="6"/>
  <c r="H132" i="6"/>
  <c r="H131" i="6"/>
  <c r="H130" i="6"/>
  <c r="H129" i="6"/>
  <c r="H128" i="6"/>
  <c r="H127" i="6"/>
  <c r="H125" i="6"/>
  <c r="H124" i="6"/>
  <c r="H123" i="6"/>
  <c r="H122" i="6"/>
  <c r="H121" i="6"/>
  <c r="H120" i="6"/>
  <c r="H119" i="6"/>
  <c r="H118" i="6"/>
  <c r="H117" i="6"/>
  <c r="H111" i="6"/>
  <c r="H110" i="6"/>
  <c r="H109" i="6"/>
  <c r="H108" i="6"/>
  <c r="H107" i="6"/>
  <c r="H112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2" i="6"/>
  <c r="H91" i="6"/>
  <c r="H90" i="6"/>
  <c r="H89" i="6"/>
  <c r="H88" i="6"/>
  <c r="H87" i="6"/>
  <c r="H86" i="6"/>
  <c r="H85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3" i="6"/>
  <c r="H62" i="6"/>
  <c r="H61" i="6"/>
  <c r="H60" i="6"/>
  <c r="H59" i="6"/>
  <c r="H58" i="6"/>
  <c r="H57" i="6"/>
  <c r="H55" i="6"/>
  <c r="H54" i="6"/>
  <c r="H53" i="6"/>
  <c r="H52" i="6"/>
  <c r="H51" i="6"/>
  <c r="H50" i="6"/>
  <c r="H41" i="6"/>
  <c r="H35" i="6"/>
  <c r="H48" i="6"/>
  <c r="H47" i="6"/>
  <c r="H46" i="6"/>
  <c r="H45" i="6"/>
  <c r="H44" i="6"/>
  <c r="H43" i="6"/>
  <c r="H40" i="6"/>
  <c r="H39" i="6"/>
  <c r="H38" i="6"/>
  <c r="H37" i="6"/>
  <c r="H34" i="6"/>
  <c r="H33" i="6"/>
  <c r="H32" i="6"/>
  <c r="H31" i="6"/>
  <c r="H30" i="6"/>
  <c r="H26" i="6"/>
  <c r="H27" i="6"/>
  <c r="H25" i="6"/>
  <c r="H24" i="6"/>
  <c r="H23" i="6"/>
  <c r="H22" i="6"/>
  <c r="H20" i="6"/>
  <c r="H16" i="6"/>
  <c r="H19" i="6"/>
  <c r="H18" i="6"/>
  <c r="H17" i="6"/>
  <c r="H14" i="6"/>
  <c r="H11" i="6"/>
  <c r="H10" i="6"/>
  <c r="H177" i="6" l="1"/>
  <c r="H9" i="6"/>
  <c r="H15" i="6" l="1"/>
  <c r="H21" i="6"/>
  <c r="H28" i="6"/>
  <c r="H29" i="6"/>
  <c r="H36" i="6"/>
  <c r="H42" i="6"/>
  <c r="H49" i="6"/>
  <c r="H56" i="6"/>
  <c r="H64" i="6"/>
  <c r="H65" i="6"/>
  <c r="H66" i="6"/>
  <c r="H83" i="6"/>
  <c r="H84" i="6"/>
  <c r="H93" i="6"/>
  <c r="H113" i="6"/>
  <c r="H114" i="6"/>
  <c r="H115" i="6"/>
  <c r="H116" i="6"/>
  <c r="H126" i="6"/>
  <c r="H145" i="6"/>
  <c r="H154" i="6"/>
  <c r="H163" i="6"/>
  <c r="H164" i="6"/>
  <c r="H165" i="6"/>
  <c r="H12" i="6" l="1"/>
  <c r="F179" i="6"/>
  <c r="H13" i="6"/>
  <c r="F182" i="6" l="1"/>
  <c r="B6" i="6" s="1"/>
  <c r="F183" i="6"/>
  <c r="F184" i="6" l="1"/>
</calcChain>
</file>

<file path=xl/sharedStrings.xml><?xml version="1.0" encoding="utf-8"?>
<sst xmlns="http://schemas.openxmlformats.org/spreadsheetml/2006/main" count="1004" uniqueCount="230">
  <si>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</si>
  <si>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</si>
  <si>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</si>
  <si>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</si>
  <si>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</si>
  <si>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</si>
  <si>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</si>
  <si>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</si>
  <si>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</si>
  <si>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</si>
  <si>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</si>
  <si>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</si>
  <si>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</si>
  <si>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</si>
  <si>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</si>
  <si>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</si>
  <si>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</si>
  <si>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</si>
  <si>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</si>
  <si>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</si>
  <si>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</si>
  <si>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</si>
  <si>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</si>
  <si>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</si>
  <si>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</si>
  <si>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</si>
  <si>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</si>
  <si>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</si>
  <si>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</si>
  <si>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</si>
  <si>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</si>
  <si>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</si>
  <si>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</si>
  <si>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</si>
  <si>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</si>
  <si>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</si>
  <si>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</si>
  <si>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</si>
  <si>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</si>
  <si>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</si>
  <si>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</si>
  <si>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</si>
  <si>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</si>
  <si>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</si>
  <si>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</si>
  <si>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</si>
  <si>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</si>
  <si>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</si>
  <si>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</si>
  <si>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</si>
  <si>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</si>
  <si>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</si>
  <si>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</si>
  <si>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</si>
  <si>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</si>
  <si>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</si>
  <si>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</si>
  <si>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</si>
  <si>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</si>
  <si>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</si>
  <si>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</si>
  <si>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</si>
  <si>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</si>
  <si>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</si>
  <si>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</si>
  <si>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</si>
  <si>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</si>
  <si>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</si>
  <si>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</si>
  <si>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</si>
  <si>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</si>
  <si>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</si>
  <si>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</si>
  <si>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</si>
  <si>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</si>
  <si>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</si>
  <si>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</si>
  <si>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</si>
  <si>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</si>
  <si>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</si>
  <si>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</si>
  <si>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</si>
  <si>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</si>
  <si>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</si>
  <si>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</si>
  <si>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</si>
  <si>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</si>
  <si>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</si>
  <si>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</si>
  <si>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</si>
  <si>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Zola</t>
  </si>
  <si>
    <t>Total Billable Hours</t>
  </si>
  <si>
    <t>Sarah</t>
  </si>
  <si>
    <t>Human Rights Day</t>
  </si>
  <si>
    <t>Example</t>
  </si>
  <si>
    <t>Engelina</t>
  </si>
  <si>
    <t>Hamerl</t>
  </si>
  <si>
    <t>SBV</t>
  </si>
  <si>
    <t>Shaylin</t>
  </si>
  <si>
    <t>Amanda</t>
  </si>
  <si>
    <t>Ian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</si>
  <si>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</si>
  <si>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</si>
  <si>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</si>
  <si>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</si>
  <si>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</si>
  <si>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</si>
  <si>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</si>
  <si>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</si>
  <si>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Lehlohonolo</t>
  </si>
  <si>
    <t>Sahur</t>
  </si>
  <si>
    <t>Vincent</t>
  </si>
  <si>
    <t>Phone</t>
  </si>
  <si>
    <t>WiFi</t>
  </si>
  <si>
    <t>Internal Sambe</t>
  </si>
  <si>
    <t>AFA Sasfin</t>
  </si>
  <si>
    <t>Artist Proof Studio</t>
  </si>
  <si>
    <t>Assimil8 - AGA</t>
  </si>
  <si>
    <t>C. Steinweg</t>
  </si>
  <si>
    <t>Conekt AGSA SharePoint</t>
  </si>
  <si>
    <t>Bihaag</t>
  </si>
  <si>
    <t>Conekt – Meridian</t>
  </si>
  <si>
    <t>Boaz</t>
  </si>
  <si>
    <t>Conekt – Altron - AGSA</t>
  </si>
  <si>
    <t>Conekt – Clientele</t>
  </si>
  <si>
    <t>Clement</t>
  </si>
  <si>
    <t>Conekt – Winning Business</t>
  </si>
  <si>
    <t xml:space="preserve">David 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</si>
  <si>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</si>
  <si>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</si>
  <si>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</si>
  <si>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</si>
  <si>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</si>
  <si>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</si>
  <si>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Elrida</t>
  </si>
  <si>
    <t>Discovery CSI</t>
  </si>
  <si>
    <t>Discovery Health</t>
  </si>
  <si>
    <t xml:space="preserve">Discovery Skills </t>
  </si>
  <si>
    <t>Discovery Vitality</t>
  </si>
  <si>
    <t>Gyro</t>
  </si>
  <si>
    <t>Healthforce</t>
  </si>
  <si>
    <t>Juan</t>
  </si>
  <si>
    <t>KFC Digistics</t>
  </si>
  <si>
    <t>Medi-Charge</t>
  </si>
  <si>
    <t>MICA Build</t>
  </si>
  <si>
    <t>Lazarus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</si>
  <si>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</si>
  <si>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</si>
  <si>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</si>
  <si>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</si>
  <si>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</si>
  <si>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</si>
  <si>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Liesha</t>
  </si>
  <si>
    <t>RMB Tumelo</t>
  </si>
  <si>
    <t>Rivashan</t>
  </si>
  <si>
    <t>Sibanya</t>
  </si>
  <si>
    <t>Transport Holdings</t>
  </si>
  <si>
    <t>Tatenda</t>
  </si>
  <si>
    <t>Timothy</t>
  </si>
  <si>
    <t>Tutu</t>
  </si>
  <si>
    <t>Yazeed</t>
  </si>
  <si>
    <t xml:space="preserve">Yugeshin </t>
  </si>
  <si>
    <t>Nagendra</t>
  </si>
  <si>
    <t>Tyson</t>
  </si>
  <si>
    <t xml:space="preserve">Andile </t>
  </si>
  <si>
    <t>Brian</t>
  </si>
  <si>
    <t>Ernest</t>
  </si>
  <si>
    <t>Evashan</t>
  </si>
  <si>
    <t>Itumeleng</t>
  </si>
  <si>
    <t>Iviwe</t>
  </si>
  <si>
    <t>Jubhele</t>
  </si>
  <si>
    <t>Karabo</t>
  </si>
  <si>
    <t>Karusha</t>
  </si>
  <si>
    <t>Keown</t>
  </si>
  <si>
    <t>Kiaan</t>
  </si>
  <si>
    <t xml:space="preserve">Lucky </t>
  </si>
  <si>
    <t xml:space="preserve">Mamello </t>
  </si>
  <si>
    <t>Muzuvukile</t>
  </si>
  <si>
    <t>Nathalia</t>
  </si>
  <si>
    <t>Neo</t>
  </si>
  <si>
    <t>Ongeziwe</t>
  </si>
  <si>
    <t>Owen</t>
  </si>
  <si>
    <t xml:space="preserve">Pascal  </t>
  </si>
  <si>
    <t xml:space="preserve">Siphenathi </t>
  </si>
  <si>
    <t>Siyakhanya</t>
  </si>
  <si>
    <t>Suryansh</t>
  </si>
  <si>
    <t>Tendo</t>
  </si>
  <si>
    <t>Thabang</t>
  </si>
  <si>
    <t>Thapelo</t>
  </si>
  <si>
    <t>Dipthi</t>
  </si>
  <si>
    <t>Immaculate</t>
  </si>
  <si>
    <t>Life Healthcare</t>
  </si>
  <si>
    <t>Sanlam</t>
  </si>
  <si>
    <t>Annual Leave - Half day</t>
  </si>
  <si>
    <t>Sick Leave - Half day</t>
  </si>
  <si>
    <t>Pogiso</t>
  </si>
  <si>
    <t>RMB</t>
  </si>
  <si>
    <t>Jashmeen</t>
  </si>
  <si>
    <t>Buhle</t>
  </si>
  <si>
    <t>Continued working on dream board</t>
  </si>
  <si>
    <t>Attended full day onboarding at the station office</t>
  </si>
  <si>
    <t xml:space="preserve">Attended daily standup </t>
  </si>
  <si>
    <t>Conducted research for Data management presentation</t>
  </si>
  <si>
    <t>Conducted research from mentors</t>
  </si>
  <si>
    <t>Attended High performers retrospective meeting</t>
  </si>
  <si>
    <t>Attended team meeting to prepare for presentation</t>
  </si>
  <si>
    <t>Attended timesheet and cv meeting</t>
  </si>
  <si>
    <t xml:space="preserve">Presented for mentor to prepare for presentation </t>
  </si>
  <si>
    <t>Attended mid-day check-in</t>
  </si>
  <si>
    <t>Created Jira task and linked to Confluence document</t>
  </si>
  <si>
    <t>Attended one-on-one session with mentor</t>
  </si>
  <si>
    <t>Installed Git and learnt basic functionality</t>
  </si>
  <si>
    <t>Prepared for mentor presentation</t>
  </si>
  <si>
    <t xml:space="preserve">Github Repo creation task </t>
  </si>
  <si>
    <t>Created Jira tasks and started course on git and github</t>
  </si>
  <si>
    <t>Continued Git and Github course</t>
  </si>
  <si>
    <t>Attended presentation and High performers retrospective meeting</t>
  </si>
  <si>
    <t>Prepared for presentation</t>
  </si>
  <si>
    <t>Grad program information meeting</t>
  </si>
  <si>
    <t>Completed Git and Github course</t>
  </si>
  <si>
    <t>Updated Jira board and linked confluence documents</t>
  </si>
  <si>
    <t>Principles by Ray Dalio - Soft skills tutorial</t>
  </si>
  <si>
    <t>Udemy course - Intro to python</t>
  </si>
  <si>
    <t>Attended meeting for Udemy License</t>
  </si>
  <si>
    <t>Udemy course - Linux for beginners</t>
  </si>
  <si>
    <t>Presentation on Data Management</t>
  </si>
  <si>
    <t>Meeting with mentor</t>
  </si>
  <si>
    <t>Presentation on Aplication Development Lifecycle</t>
  </si>
  <si>
    <t>Udemy course - Excel for beginners</t>
  </si>
  <si>
    <t>Attended onboarding meeting and started working on dream board 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</si>
</sst>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h]:mm"/>
    <numFmt numFmtId="165" formatCode="h:mm;@"/>
  </numFmts>
  <fonts count="19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</fills>
  <borders count="2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3" fillId="0" borderId="0" xfId="0" applyFont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6" xfId="0" applyFont="1" applyBorder="1" applyAlignment="1">
      <alignment horizontal="right" wrapText="1"/>
    </xf>
    <xf numFmtId="20" fontId="5" fillId="0" borderId="0" xfId="0" applyNumberFormat="1" applyFont="1"/>
    <xf numFmtId="0" fontId="3" fillId="0" borderId="2" xfId="0" applyFont="1" applyBorder="1"/>
    <xf numFmtId="0" fontId="3" fillId="0" borderId="4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6" xfId="0" applyNumberFormat="1" applyFont="1" applyBorder="1" applyAlignment="1">
      <alignment horizontal="right" wrapText="1"/>
    </xf>
    <xf numFmtId="49" fontId="8" fillId="0" borderId="7" xfId="0" applyNumberFormat="1" applyFont="1" applyBorder="1" applyAlignment="1">
      <alignment vertical="top"/>
    </xf>
    <xf numFmtId="0" fontId="1" fillId="0" borderId="8" xfId="0" applyFont="1" applyBorder="1"/>
    <xf numFmtId="164" fontId="3" fillId="0" borderId="7" xfId="0" applyNumberFormat="1" applyFont="1" applyBorder="1" applyAlignment="1">
      <alignment horizontal="right" wrapText="1"/>
    </xf>
    <xf numFmtId="0" fontId="1" fillId="0" borderId="9" xfId="0" applyFont="1" applyBorder="1"/>
    <xf numFmtId="0" fontId="9" fillId="0" borderId="10" xfId="0" applyFont="1" applyBorder="1" applyAlignment="1">
      <alignment horizontal="left"/>
    </xf>
    <xf numFmtId="0" fontId="3" fillId="0" borderId="11" xfId="0" applyFont="1" applyBorder="1" applyAlignment="1">
      <alignment wrapText="1"/>
    </xf>
    <xf numFmtId="14" fontId="4" fillId="0" borderId="5" xfId="0" applyNumberFormat="1" applyFont="1" applyBorder="1"/>
    <xf numFmtId="0" fontId="4" fillId="0" borderId="0" xfId="0" applyFont="1"/>
    <xf numFmtId="0" fontId="13" fillId="4" borderId="12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 wrapText="1"/>
    </xf>
    <xf numFmtId="0" fontId="4" fillId="0" borderId="5" xfId="0" applyFont="1" applyBorder="1"/>
    <xf numFmtId="0" fontId="4" fillId="0" borderId="5" xfId="0" applyFont="1" applyBorder="1" applyAlignment="1">
      <alignment wrapText="1"/>
    </xf>
    <xf numFmtId="165" fontId="4" fillId="0" borderId="5" xfId="0" applyNumberFormat="1" applyFont="1" applyBorder="1"/>
    <xf numFmtId="165" fontId="4" fillId="0" borderId="5" xfId="0" applyNumberFormat="1" applyFont="1" applyBorder="1" applyAlignment="1">
      <alignment wrapText="1"/>
    </xf>
    <xf numFmtId="14" fontId="4" fillId="3" borderId="5" xfId="0" applyNumberFormat="1" applyFont="1" applyFill="1" applyBorder="1"/>
    <xf numFmtId="0" fontId="4" fillId="3" borderId="5" xfId="0" applyFont="1" applyFill="1" applyBorder="1"/>
    <xf numFmtId="0" fontId="4" fillId="3" borderId="5" xfId="0" applyFont="1" applyFill="1" applyBorder="1" applyAlignment="1">
      <alignment wrapText="1"/>
    </xf>
    <xf numFmtId="165" fontId="4" fillId="3" borderId="5" xfId="0" applyNumberFormat="1" applyFont="1" applyFill="1" applyBorder="1"/>
    <xf numFmtId="165" fontId="4" fillId="3" borderId="5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1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3" xfId="0" applyFont="1" applyFill="1" applyBorder="1" applyAlignment="1">
      <alignment wrapText="1"/>
    </xf>
    <xf numFmtId="0" fontId="13" fillId="4" borderId="14" xfId="0" applyFont="1" applyFill="1" applyBorder="1" applyAlignment="1">
      <alignment horizontal="center" wrapText="1"/>
    </xf>
    <xf numFmtId="164" fontId="3" fillId="0" borderId="18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0" fontId="4" fillId="5" borderId="5" xfId="0" applyFont="1" applyFill="1" applyBorder="1"/>
    <xf numFmtId="0" fontId="4" fillId="5" borderId="5" xfId="0" applyFont="1" applyFill="1" applyBorder="1" applyAlignment="1">
      <alignment wrapText="1"/>
    </xf>
    <xf numFmtId="165" fontId="4" fillId="5" borderId="5" xfId="0" applyNumberFormat="1" applyFont="1" applyFill="1" applyBorder="1"/>
    <xf numFmtId="165" fontId="4" fillId="5" borderId="5" xfId="0" applyNumberFormat="1" applyFont="1" applyFill="1" applyBorder="1" applyAlignment="1">
      <alignment wrapText="1"/>
    </xf>
    <xf numFmtId="0" fontId="11" fillId="0" borderId="0" xfId="0" applyFont="1"/>
    <xf numFmtId="0" fontId="14" fillId="4" borderId="15" xfId="0" applyFont="1" applyFill="1" applyBorder="1"/>
    <xf numFmtId="0" fontId="11" fillId="0" borderId="15" xfId="0" applyFont="1" applyBorder="1"/>
    <xf numFmtId="0" fontId="15" fillId="7" borderId="16" xfId="0" applyFont="1" applyFill="1" applyBorder="1"/>
    <xf numFmtId="0" fontId="15" fillId="6" borderId="17" xfId="0" applyFont="1" applyFill="1" applyBorder="1"/>
    <xf numFmtId="0" fontId="15" fillId="6" borderId="0" xfId="0" applyFont="1" applyFill="1"/>
    <xf numFmtId="0" fontId="15" fillId="7" borderId="17" xfId="0" applyFont="1" applyFill="1" applyBorder="1"/>
    <xf numFmtId="0" fontId="15" fillId="7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7" borderId="0" xfId="0" applyFont="1" applyFill="1" applyProtection="1">
      <protection locked="0"/>
    </xf>
    <xf numFmtId="0" fontId="11" fillId="0" borderId="21" xfId="0" applyFont="1" applyBorder="1"/>
    <xf numFmtId="0" fontId="17" fillId="10" borderId="20" xfId="0" applyFont="1" applyFill="1" applyBorder="1" applyAlignment="1">
      <alignment horizontal="left" wrapText="1" readingOrder="1"/>
    </xf>
    <xf numFmtId="0" fontId="17" fillId="0" borderId="20" xfId="0" applyFont="1" applyBorder="1" applyAlignment="1">
      <alignment horizontal="left"/>
    </xf>
    <xf numFmtId="0" fontId="17" fillId="0" borderId="20" xfId="0" applyFont="1" applyBorder="1"/>
    <xf numFmtId="0" fontId="17" fillId="0" borderId="5" xfId="0" applyFont="1" applyBorder="1" applyAlignment="1">
      <alignment horizontal="left"/>
    </xf>
    <xf numFmtId="0" fontId="17" fillId="0" borderId="5" xfId="0" applyFont="1" applyBorder="1"/>
    <xf numFmtId="0" fontId="17" fillId="0" borderId="19" xfId="0" applyFont="1" applyBorder="1"/>
    <xf numFmtId="0" fontId="11" fillId="9" borderId="15" xfId="0" applyFont="1" applyFill="1" applyBorder="1"/>
    <xf numFmtId="164" fontId="4" fillId="2" borderId="0" xfId="0" applyNumberFormat="1" applyFont="1" applyFill="1" applyAlignment="1">
      <alignment wrapText="1"/>
    </xf>
    <xf numFmtId="0" fontId="17" fillId="9" borderId="20" xfId="0" applyFont="1" applyFill="1" applyBorder="1" applyAlignment="1">
      <alignment horizontal="left"/>
    </xf>
    <xf numFmtId="0" fontId="17" fillId="9" borderId="20" xfId="0" applyFont="1" applyFill="1" applyBorder="1" applyAlignment="1">
      <alignment horizontal="left" vertical="center" wrapText="1"/>
    </xf>
    <xf numFmtId="0" fontId="18" fillId="9" borderId="20" xfId="0" applyFont="1" applyFill="1" applyBorder="1" applyAlignment="1">
      <alignment vertical="center"/>
    </xf>
    <xf numFmtId="0" fontId="17" fillId="9" borderId="20" xfId="0" applyFont="1" applyFill="1" applyBorder="1"/>
    <xf numFmtId="0" fontId="17" fillId="9" borderId="24" xfId="0" applyFont="1" applyFill="1" applyBorder="1" applyAlignment="1">
      <alignment horizontal="left"/>
    </xf>
    <xf numFmtId="0" fontId="17" fillId="0" borderId="24" xfId="0" applyFont="1" applyBorder="1"/>
    <xf numFmtId="0" fontId="17" fillId="0" borderId="24" xfId="0" applyFont="1" applyBorder="1" applyAlignment="1">
      <alignment horizontal="left"/>
    </xf>
    <xf numFmtId="0" fontId="17" fillId="9" borderId="24" xfId="0" applyFont="1" applyFill="1" applyBorder="1"/>
    <xf numFmtId="0" fontId="17" fillId="0" borderId="24" xfId="0" applyFont="1" applyBorder="1" applyAlignment="1">
      <alignment horizontal="left" vertical="center" wrapText="1"/>
    </xf>
    <xf numFmtId="0" fontId="17" fillId="9" borderId="22" xfId="0" applyFont="1" applyFill="1" applyBorder="1"/>
    <xf numFmtId="0" fontId="17" fillId="0" borderId="5" xfId="0" applyFont="1" applyBorder="1" applyAlignment="1">
      <alignment horizontal="left" vertical="center" wrapText="1"/>
    </xf>
    <xf numFmtId="0" fontId="17" fillId="9" borderId="5" xfId="0" applyFont="1" applyFill="1" applyBorder="1" applyAlignment="1">
      <alignment horizontal="left"/>
    </xf>
    <xf numFmtId="0" fontId="17" fillId="9" borderId="5" xfId="0" applyFont="1" applyFill="1" applyBorder="1" applyAlignment="1">
      <alignment horizontal="left" vertical="center" wrapText="1"/>
    </xf>
    <xf numFmtId="0" fontId="17" fillId="9" borderId="5" xfId="0" applyFont="1" applyFill="1" applyBorder="1"/>
    <xf numFmtId="0" fontId="17" fillId="9" borderId="22" xfId="0" applyFont="1" applyFill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wrapText="1"/>
    </xf>
    <xf numFmtId="0" fontId="17" fillId="8" borderId="5" xfId="0" applyFont="1" applyFill="1" applyBorder="1" applyAlignment="1">
      <alignment horizontal="left"/>
    </xf>
    <xf numFmtId="0" fontId="15" fillId="7" borderId="25" xfId="0" applyFont="1" applyFill="1" applyBorder="1"/>
    <xf numFmtId="49" fontId="6" fillId="0" borderId="3" xfId="0" applyNumberFormat="1" applyFont="1" applyBorder="1" applyAlignment="1">
      <alignment horizontal="left" vertical="top"/>
    </xf>
    <xf numFmtId="0" fontId="6" fillId="0" borderId="3" xfId="0" applyFont="1" applyBorder="1" applyAlignment="1">
      <alignment horizontal="left" vertical="top" wrapText="1"/>
    </xf>
  </cellXfs>
  <cellStyles count="1">
    <cellStyle name="Normal" xfId="0" builtinId="0"/>
  </cellStyles>
  <dxfs count="25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7" totalsRowShown="0" headerRowDxfId="24" dataDxfId="23">
  <autoFilter ref="H2:H77" xr:uid="{2E876225-7964-4082-91F1-C6221C464408}"/>
  <tableColumns count="1">
    <tableColumn id="2" xr3:uid="{234A6588-4DEA-4067-9367-AEAFE02CA40D}" name="Resource" dataDxfId="2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0" totalsRowShown="0" headerRowDxfId="21" dataDxfId="20" tableBorderDxfId="19">
  <autoFilter ref="F2:F40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18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187"/>
  <sheetViews>
    <sheetView tabSelected="1" zoomScale="75" zoomScaleNormal="75" workbookViewId="0">
      <selection activeCell="G10" sqref="G10"/>
    </sheetView>
  </sheetViews>
  <sheetFormatPr defaultColWidth="8.75" defaultRowHeight="12.75" x14ac:dyDescent="0.2"/>
  <cols>
    <col min="1" max="1" width="12" style="21" customWidth="1"/>
    <col min="2" max="2" width="13.125" style="21" customWidth="1"/>
    <col min="3" max="3" width="16.25" style="21" customWidth="1"/>
    <col min="4" max="5" width="20" style="21" customWidth="1"/>
    <col min="6" max="6" width="23.125" style="21" customWidth="1"/>
    <col min="7" max="7" width="34" style="21" customWidth="1"/>
    <col min="8" max="16384" width="8.75" style="21"/>
  </cols>
  <sheetData>
    <row r="5" spans="1:10" ht="12.6" x14ac:dyDescent="0.2">
      <c r="A5" s="35" t="s">
        <v>2</v>
      </c>
      <c r="B5" s="21" t="s">
        <v>198</v>
      </c>
      <c r="C5" s="35"/>
      <c r="H5" s="38"/>
    </row>
    <row r="6" spans="1:10" ht="12.6" x14ac:dyDescent="0.2">
      <c r="A6" s="35" t="s">
        <v>91</v>
      </c>
      <c r="B6" s="68">
        <f>F182</f>
        <v>0</v>
      </c>
      <c r="C6" s="35"/>
      <c r="D6" s="35"/>
      <c r="E6" s="35"/>
      <c r="H6" s="38"/>
      <c r="J6" s="39"/>
    </row>
    <row r="7" spans="1:10" ht="12.6" x14ac:dyDescent="0.2">
      <c r="H7" s="38"/>
    </row>
    <row r="8" spans="1:10" ht="25.15" x14ac:dyDescent="0.2">
      <c r="A8" s="22" t="s">
        <v>0</v>
      </c>
      <c r="B8" s="23" t="s">
        <v>1</v>
      </c>
      <c r="C8" s="23" t="s">
        <v>3</v>
      </c>
      <c r="D8" s="23" t="s">
        <v>4</v>
      </c>
      <c r="E8" s="23" t="s">
        <v>5</v>
      </c>
      <c r="F8" s="23" t="s">
        <v>6</v>
      </c>
      <c r="G8" s="40" t="s">
        <v>7</v>
      </c>
      <c r="H8" s="24" t="s">
        <v>8</v>
      </c>
      <c r="I8" s="24" t="s">
        <v>9</v>
      </c>
      <c r="J8" s="41" t="s">
        <v>10</v>
      </c>
    </row>
    <row r="9" spans="1:10" ht="12.6" x14ac:dyDescent="0.2">
      <c r="A9" s="29">
        <v>46082</v>
      </c>
      <c r="B9" s="29" t="s">
        <v>16</v>
      </c>
      <c r="C9" s="30"/>
      <c r="D9" s="30"/>
      <c r="E9" s="30"/>
      <c r="F9" s="30"/>
      <c r="G9" s="31"/>
      <c r="H9" s="32">
        <f>J9-I9</f>
        <v>0</v>
      </c>
      <c r="I9" s="33"/>
      <c r="J9" s="33"/>
    </row>
    <row r="10" spans="1:10" ht="38.25" x14ac:dyDescent="0.2">
      <c r="A10" s="20">
        <v>46083</v>
      </c>
      <c r="B10" s="20" t="s">
        <v>17</v>
      </c>
      <c r="C10" s="25" t="s">
        <v>114</v>
      </c>
      <c r="D10" s="25"/>
      <c r="E10" s="25" t="s">
        <v>62</v>
      </c>
      <c r="F10" s="25" t="s">
        <v>15</v>
      </c>
      <c r="G10" s="26" t="s">
        <v>229</v>
      </c>
      <c r="H10" s="27">
        <f>J10-I10</f>
        <v>0.16666666666666663</v>
      </c>
      <c r="I10" s="28">
        <v>0.375</v>
      </c>
      <c r="J10" s="28">
        <v>0.54166666666666663</v>
      </c>
    </row>
    <row r="11" spans="1:10" x14ac:dyDescent="0.2">
      <c r="A11" s="20">
        <v>46083</v>
      </c>
      <c r="B11" s="20" t="s">
        <v>17</v>
      </c>
      <c r="C11" s="25" t="s">
        <v>114</v>
      </c>
      <c r="D11" s="25"/>
      <c r="E11" s="25" t="s">
        <v>53</v>
      </c>
      <c r="F11" s="25" t="s">
        <v>15</v>
      </c>
      <c r="G11" s="26" t="s">
        <v>199</v>
      </c>
      <c r="H11" s="27">
        <f>J11-I11</f>
        <v>8.3333333333333259E-2</v>
      </c>
      <c r="I11" s="28">
        <v>0.58333333333333337</v>
      </c>
      <c r="J11" s="28">
        <v>0.66666666666666663</v>
      </c>
    </row>
    <row r="12" spans="1:10" ht="25.15" x14ac:dyDescent="0.2">
      <c r="A12" s="20">
        <v>46084</v>
      </c>
      <c r="B12" s="20" t="s">
        <v>18</v>
      </c>
      <c r="C12" s="25" t="s">
        <v>114</v>
      </c>
      <c r="D12" s="25"/>
      <c r="E12" s="25" t="s">
        <v>62</v>
      </c>
      <c r="F12" s="25" t="s">
        <v>15</v>
      </c>
      <c r="G12" s="26" t="s">
        <v>200</v>
      </c>
      <c r="H12" s="27">
        <f t="shared" ref="H12:H84" si="0">J12-I12</f>
        <v>0.33333333333333331</v>
      </c>
      <c r="I12" s="28">
        <v>0.33333333333333331</v>
      </c>
      <c r="J12" s="28">
        <v>0.66666666666666663</v>
      </c>
    </row>
    <row r="13" spans="1:10" ht="12.6" x14ac:dyDescent="0.2">
      <c r="A13" s="20">
        <v>46085</v>
      </c>
      <c r="B13" s="20" t="s">
        <v>19</v>
      </c>
      <c r="C13" s="25" t="s">
        <v>114</v>
      </c>
      <c r="D13" s="25"/>
      <c r="E13" s="25" t="s">
        <v>62</v>
      </c>
      <c r="F13" s="25" t="s">
        <v>15</v>
      </c>
      <c r="G13" s="26" t="s">
        <v>201</v>
      </c>
      <c r="H13" s="27">
        <f t="shared" si="0"/>
        <v>4.1666666666666685E-2</v>
      </c>
      <c r="I13" s="28">
        <v>0.33333333333333331</v>
      </c>
      <c r="J13" s="28">
        <v>0.375</v>
      </c>
    </row>
    <row r="14" spans="1:10" ht="25.15" x14ac:dyDescent="0.2">
      <c r="A14" s="20">
        <v>46085</v>
      </c>
      <c r="B14" s="20" t="s">
        <v>19</v>
      </c>
      <c r="C14" s="25" t="s">
        <v>114</v>
      </c>
      <c r="D14" s="25"/>
      <c r="E14" s="25" t="s">
        <v>69</v>
      </c>
      <c r="F14" s="25" t="s">
        <v>15</v>
      </c>
      <c r="G14" s="26" t="s">
        <v>202</v>
      </c>
      <c r="H14" s="27">
        <f t="shared" si="0"/>
        <v>6.25E-2</v>
      </c>
      <c r="I14" s="28">
        <v>0.4375</v>
      </c>
      <c r="J14" s="28">
        <v>0.5</v>
      </c>
    </row>
    <row r="15" spans="1:10" ht="25.15" x14ac:dyDescent="0.2">
      <c r="A15" s="20">
        <v>46085</v>
      </c>
      <c r="B15" s="20" t="s">
        <v>19</v>
      </c>
      <c r="C15" s="25" t="s">
        <v>114</v>
      </c>
      <c r="D15" s="25"/>
      <c r="E15" s="25" t="s">
        <v>69</v>
      </c>
      <c r="F15" s="25" t="s">
        <v>15</v>
      </c>
      <c r="G15" s="26" t="s">
        <v>202</v>
      </c>
      <c r="H15" s="27">
        <f t="shared" si="0"/>
        <v>0.16666666666666663</v>
      </c>
      <c r="I15" s="28">
        <v>0.5</v>
      </c>
      <c r="J15" s="28">
        <v>0.66666666666666663</v>
      </c>
    </row>
    <row r="16" spans="1:10" ht="25.15" x14ac:dyDescent="0.2">
      <c r="A16" s="20">
        <v>46085</v>
      </c>
      <c r="B16" s="20" t="s">
        <v>19</v>
      </c>
      <c r="C16" s="25" t="s">
        <v>114</v>
      </c>
      <c r="D16" s="25"/>
      <c r="E16" s="25" t="s">
        <v>62</v>
      </c>
      <c r="F16" s="25" t="s">
        <v>15</v>
      </c>
      <c r="G16" s="26" t="s">
        <v>204</v>
      </c>
      <c r="H16" s="27">
        <f t="shared" si="0"/>
        <v>4.1666666666666741E-2</v>
      </c>
      <c r="I16" s="28">
        <v>0.66666666666666663</v>
      </c>
      <c r="J16" s="28">
        <v>0.70833333333333337</v>
      </c>
    </row>
    <row r="17" spans="1:10" ht="12.6" x14ac:dyDescent="0.2">
      <c r="A17" s="20">
        <v>46086</v>
      </c>
      <c r="B17" s="20" t="s">
        <v>20</v>
      </c>
      <c r="C17" s="25" t="s">
        <v>114</v>
      </c>
      <c r="D17" s="25"/>
      <c r="E17" s="25" t="s">
        <v>62</v>
      </c>
      <c r="F17" s="25" t="s">
        <v>15</v>
      </c>
      <c r="G17" s="26" t="s">
        <v>201</v>
      </c>
      <c r="H17" s="27">
        <f t="shared" si="0"/>
        <v>4.1666666666666685E-2</v>
      </c>
      <c r="I17" s="28">
        <v>0.33333333333333331</v>
      </c>
      <c r="J17" s="28">
        <v>0.375</v>
      </c>
    </row>
    <row r="18" spans="1:10" ht="12.6" x14ac:dyDescent="0.2">
      <c r="A18" s="20">
        <v>46086</v>
      </c>
      <c r="B18" s="20" t="s">
        <v>20</v>
      </c>
      <c r="C18" s="25" t="s">
        <v>114</v>
      </c>
      <c r="D18" s="25"/>
      <c r="E18" s="25" t="s">
        <v>69</v>
      </c>
      <c r="F18" s="25" t="s">
        <v>15</v>
      </c>
      <c r="G18" s="26" t="s">
        <v>203</v>
      </c>
      <c r="H18" s="27">
        <f t="shared" si="0"/>
        <v>0.125</v>
      </c>
      <c r="I18" s="28">
        <v>0.375</v>
      </c>
      <c r="J18" s="28">
        <v>0.5</v>
      </c>
    </row>
    <row r="19" spans="1:10" ht="12.6" x14ac:dyDescent="0.2">
      <c r="A19" s="20">
        <v>46086</v>
      </c>
      <c r="B19" s="20" t="s">
        <v>20</v>
      </c>
      <c r="C19" s="25" t="s">
        <v>114</v>
      </c>
      <c r="D19" s="25"/>
      <c r="E19" s="25" t="s">
        <v>69</v>
      </c>
      <c r="F19" s="25" t="s">
        <v>15</v>
      </c>
      <c r="G19" s="26" t="s">
        <v>203</v>
      </c>
      <c r="H19" s="27">
        <f t="shared" si="0"/>
        <v>0.125</v>
      </c>
      <c r="I19" s="28">
        <v>0.54166666666666663</v>
      </c>
      <c r="J19" s="28">
        <v>0.66666666666666663</v>
      </c>
    </row>
    <row r="20" spans="1:10" ht="25.15" x14ac:dyDescent="0.2">
      <c r="A20" s="20">
        <v>46086</v>
      </c>
      <c r="B20" s="20" t="s">
        <v>20</v>
      </c>
      <c r="C20" s="25" t="s">
        <v>114</v>
      </c>
      <c r="D20" s="25"/>
      <c r="E20" s="25" t="s">
        <v>62</v>
      </c>
      <c r="F20" s="25" t="s">
        <v>15</v>
      </c>
      <c r="G20" s="26" t="s">
        <v>204</v>
      </c>
      <c r="H20" s="27">
        <f t="shared" si="0"/>
        <v>4.1666666666666741E-2</v>
      </c>
      <c r="I20" s="28">
        <v>0.66666666666666663</v>
      </c>
      <c r="J20" s="28">
        <v>0.70833333333333337</v>
      </c>
    </row>
    <row r="21" spans="1:10" ht="12.6" x14ac:dyDescent="0.2">
      <c r="A21" s="20">
        <v>46087</v>
      </c>
      <c r="B21" s="20" t="s">
        <v>11</v>
      </c>
      <c r="C21" s="25" t="s">
        <v>114</v>
      </c>
      <c r="D21" s="25"/>
      <c r="E21" s="25" t="s">
        <v>62</v>
      </c>
      <c r="F21" s="25" t="s">
        <v>15</v>
      </c>
      <c r="G21" s="26" t="s">
        <v>201</v>
      </c>
      <c r="H21" s="27">
        <f t="shared" si="0"/>
        <v>4.1666666666666685E-2</v>
      </c>
      <c r="I21" s="28">
        <v>0.33333333333333331</v>
      </c>
      <c r="J21" s="28">
        <v>0.375</v>
      </c>
    </row>
    <row r="22" spans="1:10" ht="12.6" x14ac:dyDescent="0.2">
      <c r="A22" s="20">
        <v>46087</v>
      </c>
      <c r="B22" s="20" t="s">
        <v>11</v>
      </c>
      <c r="C22" s="25" t="s">
        <v>114</v>
      </c>
      <c r="D22" s="25"/>
      <c r="E22" s="25" t="s">
        <v>69</v>
      </c>
      <c r="F22" s="25" t="s">
        <v>15</v>
      </c>
      <c r="G22" s="26" t="s">
        <v>203</v>
      </c>
      <c r="H22" s="27">
        <f t="shared" si="0"/>
        <v>4.1666666666666685E-2</v>
      </c>
      <c r="I22" s="28">
        <v>0.375</v>
      </c>
      <c r="J22" s="28">
        <v>0.41666666666666669</v>
      </c>
    </row>
    <row r="23" spans="1:10" ht="25.15" x14ac:dyDescent="0.2">
      <c r="A23" s="20">
        <v>46087</v>
      </c>
      <c r="B23" s="20" t="s">
        <v>11</v>
      </c>
      <c r="C23" s="25" t="s">
        <v>114</v>
      </c>
      <c r="D23" s="25"/>
      <c r="E23" s="25" t="s">
        <v>62</v>
      </c>
      <c r="F23" s="25" t="s">
        <v>15</v>
      </c>
      <c r="G23" s="26" t="s">
        <v>205</v>
      </c>
      <c r="H23" s="27">
        <f t="shared" si="0"/>
        <v>8.3333333333333315E-2</v>
      </c>
      <c r="I23" s="28">
        <v>0.41666666666666669</v>
      </c>
      <c r="J23" s="28">
        <v>0.5</v>
      </c>
    </row>
    <row r="24" spans="1:10" ht="12.6" x14ac:dyDescent="0.2">
      <c r="A24" s="20">
        <v>46087</v>
      </c>
      <c r="B24" s="20" t="s">
        <v>11</v>
      </c>
      <c r="C24" s="25" t="s">
        <v>114</v>
      </c>
      <c r="D24" s="25"/>
      <c r="E24" s="25" t="s">
        <v>69</v>
      </c>
      <c r="F24" s="25" t="s">
        <v>15</v>
      </c>
      <c r="G24" s="26" t="s">
        <v>203</v>
      </c>
      <c r="H24" s="27">
        <f t="shared" si="0"/>
        <v>8.333333333333337E-2</v>
      </c>
      <c r="I24" s="28">
        <v>0.54166666666666663</v>
      </c>
      <c r="J24" s="28">
        <v>0.625</v>
      </c>
    </row>
    <row r="25" spans="1:10" ht="25.15" x14ac:dyDescent="0.2">
      <c r="A25" s="20">
        <v>46087</v>
      </c>
      <c r="B25" s="20" t="s">
        <v>11</v>
      </c>
      <c r="C25" s="25" t="s">
        <v>114</v>
      </c>
      <c r="D25" s="25"/>
      <c r="E25" s="25" t="s">
        <v>62</v>
      </c>
      <c r="F25" s="25" t="s">
        <v>15</v>
      </c>
      <c r="G25" s="26" t="s">
        <v>205</v>
      </c>
      <c r="H25" s="27">
        <f t="shared" si="0"/>
        <v>4.166666666666663E-2</v>
      </c>
      <c r="I25" s="28">
        <v>0.625</v>
      </c>
      <c r="J25" s="28">
        <v>0.66666666666666663</v>
      </c>
    </row>
    <row r="26" spans="1:10" ht="25.15" x14ac:dyDescent="0.2">
      <c r="A26" s="20">
        <v>46087</v>
      </c>
      <c r="B26" s="20" t="s">
        <v>11</v>
      </c>
      <c r="C26" s="25" t="s">
        <v>114</v>
      </c>
      <c r="D26" s="25"/>
      <c r="E26" s="25" t="s">
        <v>62</v>
      </c>
      <c r="F26" s="25" t="s">
        <v>15</v>
      </c>
      <c r="G26" s="26" t="s">
        <v>204</v>
      </c>
      <c r="H26" s="27">
        <f>J26-I26</f>
        <v>4.1666666666666741E-2</v>
      </c>
      <c r="I26" s="28">
        <v>0.66666666666666663</v>
      </c>
      <c r="J26" s="28">
        <v>0.70833333333333337</v>
      </c>
    </row>
    <row r="27" spans="1:10" ht="12.6" x14ac:dyDescent="0.2">
      <c r="A27" s="29">
        <v>46088</v>
      </c>
      <c r="B27" s="29" t="s">
        <v>14</v>
      </c>
      <c r="C27" s="30"/>
      <c r="D27" s="30"/>
      <c r="E27" s="30"/>
      <c r="F27" s="30"/>
      <c r="G27" s="31"/>
      <c r="H27" s="32">
        <f>J27-I27</f>
        <v>0</v>
      </c>
      <c r="I27" s="33"/>
      <c r="J27" s="33"/>
    </row>
    <row r="28" spans="1:10" ht="12.6" x14ac:dyDescent="0.2">
      <c r="A28" s="29">
        <v>46089</v>
      </c>
      <c r="B28" s="29" t="s">
        <v>16</v>
      </c>
      <c r="C28" s="30"/>
      <c r="D28" s="30"/>
      <c r="E28" s="30"/>
      <c r="F28" s="30"/>
      <c r="G28" s="31"/>
      <c r="H28" s="32">
        <f t="shared" si="0"/>
        <v>0</v>
      </c>
      <c r="I28" s="33"/>
      <c r="J28" s="33"/>
    </row>
    <row r="29" spans="1:10" ht="12.6" x14ac:dyDescent="0.2">
      <c r="A29" s="20">
        <v>46090</v>
      </c>
      <c r="B29" s="20" t="s">
        <v>17</v>
      </c>
      <c r="C29" s="25" t="s">
        <v>114</v>
      </c>
      <c r="D29" s="25"/>
      <c r="E29" s="25" t="s">
        <v>62</v>
      </c>
      <c r="F29" s="25" t="s">
        <v>15</v>
      </c>
      <c r="G29" s="26" t="s">
        <v>201</v>
      </c>
      <c r="H29" s="27">
        <f t="shared" si="0"/>
        <v>2.083333333333337E-2</v>
      </c>
      <c r="I29" s="28">
        <v>0.33333333333333331</v>
      </c>
      <c r="J29" s="28">
        <v>0.35416666666666669</v>
      </c>
    </row>
    <row r="30" spans="1:10" ht="25.15" x14ac:dyDescent="0.2">
      <c r="A30" s="20">
        <v>46090</v>
      </c>
      <c r="B30" s="20" t="s">
        <v>17</v>
      </c>
      <c r="C30" s="25" t="s">
        <v>114</v>
      </c>
      <c r="D30" s="25"/>
      <c r="E30" s="25" t="s">
        <v>62</v>
      </c>
      <c r="F30" s="25" t="s">
        <v>15</v>
      </c>
      <c r="G30" s="26" t="s">
        <v>205</v>
      </c>
      <c r="H30" s="27">
        <f t="shared" si="0"/>
        <v>6.25E-2</v>
      </c>
      <c r="I30" s="28">
        <v>0.35416666666666669</v>
      </c>
      <c r="J30" s="28">
        <v>0.41666666666666669</v>
      </c>
    </row>
    <row r="31" spans="1:10" ht="12.6" x14ac:dyDescent="0.2">
      <c r="A31" s="20">
        <v>46090</v>
      </c>
      <c r="B31" s="20" t="s">
        <v>17</v>
      </c>
      <c r="C31" s="25" t="s">
        <v>114</v>
      </c>
      <c r="D31" s="25"/>
      <c r="E31" s="25" t="s">
        <v>62</v>
      </c>
      <c r="F31" s="25" t="s">
        <v>15</v>
      </c>
      <c r="G31" s="26" t="s">
        <v>206</v>
      </c>
      <c r="H31" s="27">
        <f t="shared" si="0"/>
        <v>4.166666666666663E-2</v>
      </c>
      <c r="I31" s="28">
        <v>0.41666666666666669</v>
      </c>
      <c r="J31" s="28">
        <v>0.45833333333333331</v>
      </c>
    </row>
    <row r="32" spans="1:10" ht="25.15" x14ac:dyDescent="0.2">
      <c r="A32" s="20">
        <v>46090</v>
      </c>
      <c r="B32" s="20" t="s">
        <v>17</v>
      </c>
      <c r="C32" s="25" t="s">
        <v>114</v>
      </c>
      <c r="D32" s="25"/>
      <c r="E32" s="25" t="s">
        <v>66</v>
      </c>
      <c r="F32" s="25" t="s">
        <v>15</v>
      </c>
      <c r="G32" s="26" t="s">
        <v>207</v>
      </c>
      <c r="H32" s="27">
        <f t="shared" si="0"/>
        <v>4.1666666666666685E-2</v>
      </c>
      <c r="I32" s="28">
        <v>0.45833333333333331</v>
      </c>
      <c r="J32" s="28">
        <v>0.5</v>
      </c>
    </row>
    <row r="33" spans="1:10" ht="12.6" x14ac:dyDescent="0.2">
      <c r="A33" s="20">
        <v>46090</v>
      </c>
      <c r="B33" s="20" t="s">
        <v>17</v>
      </c>
      <c r="C33" s="25" t="s">
        <v>114</v>
      </c>
      <c r="D33" s="25"/>
      <c r="E33" s="25" t="s">
        <v>69</v>
      </c>
      <c r="F33" s="25" t="s">
        <v>15</v>
      </c>
      <c r="G33" s="26" t="s">
        <v>203</v>
      </c>
      <c r="H33" s="27">
        <f t="shared" si="0"/>
        <v>0.125</v>
      </c>
      <c r="I33" s="28">
        <v>0.54166666666666663</v>
      </c>
      <c r="J33" s="28">
        <v>0.66666666666666663</v>
      </c>
    </row>
    <row r="34" spans="1:10" ht="25.15" x14ac:dyDescent="0.2">
      <c r="A34" s="20">
        <v>46090</v>
      </c>
      <c r="B34" s="20" t="s">
        <v>17</v>
      </c>
      <c r="C34" s="25" t="s">
        <v>114</v>
      </c>
      <c r="D34" s="25"/>
      <c r="E34" s="25" t="s">
        <v>62</v>
      </c>
      <c r="F34" s="25" t="s">
        <v>15</v>
      </c>
      <c r="G34" s="26" t="s">
        <v>204</v>
      </c>
      <c r="H34" s="27">
        <f t="shared" si="0"/>
        <v>2.083333333333337E-2</v>
      </c>
      <c r="I34" s="28">
        <v>0.66666666666666663</v>
      </c>
      <c r="J34" s="28">
        <v>0.6875</v>
      </c>
    </row>
    <row r="35" spans="1:10" ht="25.15" x14ac:dyDescent="0.2">
      <c r="A35" s="20">
        <v>46090</v>
      </c>
      <c r="B35" s="20" t="s">
        <v>17</v>
      </c>
      <c r="C35" s="25" t="s">
        <v>114</v>
      </c>
      <c r="D35" s="25"/>
      <c r="E35" s="25" t="s">
        <v>62</v>
      </c>
      <c r="F35" s="25" t="s">
        <v>15</v>
      </c>
      <c r="G35" s="26" t="s">
        <v>210</v>
      </c>
      <c r="H35" s="27">
        <f t="shared" si="0"/>
        <v>2.083333333333337E-2</v>
      </c>
      <c r="I35" s="28">
        <v>0.6875</v>
      </c>
      <c r="J35" s="28">
        <v>0.70833333333333337</v>
      </c>
    </row>
    <row r="36" spans="1:10" ht="12.6" x14ac:dyDescent="0.2">
      <c r="A36" s="20">
        <v>46091</v>
      </c>
      <c r="B36" s="20" t="s">
        <v>18</v>
      </c>
      <c r="C36" s="25" t="s">
        <v>114</v>
      </c>
      <c r="D36" s="25"/>
      <c r="E36" s="25" t="s">
        <v>62</v>
      </c>
      <c r="F36" s="25" t="s">
        <v>15</v>
      </c>
      <c r="G36" s="26" t="s">
        <v>201</v>
      </c>
      <c r="H36" s="27">
        <f t="shared" si="0"/>
        <v>2.083333333333337E-2</v>
      </c>
      <c r="I36" s="28">
        <v>0.33333333333333331</v>
      </c>
      <c r="J36" s="28">
        <v>0.35416666666666669</v>
      </c>
    </row>
    <row r="37" spans="1:10" ht="25.15" x14ac:dyDescent="0.2">
      <c r="A37" s="20">
        <v>46091</v>
      </c>
      <c r="B37" s="20" t="s">
        <v>18</v>
      </c>
      <c r="C37" s="25" t="s">
        <v>114</v>
      </c>
      <c r="D37" s="25"/>
      <c r="E37" s="25" t="s">
        <v>62</v>
      </c>
      <c r="F37" s="25" t="s">
        <v>15</v>
      </c>
      <c r="G37" s="26" t="s">
        <v>205</v>
      </c>
      <c r="H37" s="27">
        <f t="shared" si="0"/>
        <v>0.10416666666666663</v>
      </c>
      <c r="I37" s="28">
        <v>0.35416666666666669</v>
      </c>
      <c r="J37" s="28">
        <v>0.45833333333333331</v>
      </c>
    </row>
    <row r="38" spans="1:10" ht="12.6" x14ac:dyDescent="0.2">
      <c r="A38" s="20">
        <v>46091</v>
      </c>
      <c r="B38" s="20" t="s">
        <v>18</v>
      </c>
      <c r="C38" s="25" t="s">
        <v>114</v>
      </c>
      <c r="D38" s="25"/>
      <c r="E38" s="25" t="s">
        <v>62</v>
      </c>
      <c r="F38" s="25" t="s">
        <v>15</v>
      </c>
      <c r="G38" s="26" t="s">
        <v>208</v>
      </c>
      <c r="H38" s="27">
        <f t="shared" si="0"/>
        <v>6.2500000000000056E-2</v>
      </c>
      <c r="I38" s="28">
        <v>0.45833333333333331</v>
      </c>
      <c r="J38" s="28">
        <v>0.52083333333333337</v>
      </c>
    </row>
    <row r="39" spans="1:10" ht="12.6" x14ac:dyDescent="0.2">
      <c r="A39" s="20">
        <v>46091</v>
      </c>
      <c r="B39" s="20" t="s">
        <v>18</v>
      </c>
      <c r="C39" s="25" t="s">
        <v>114</v>
      </c>
      <c r="D39" s="25"/>
      <c r="E39" s="25" t="s">
        <v>69</v>
      </c>
      <c r="F39" s="25" t="s">
        <v>15</v>
      </c>
      <c r="G39" s="26" t="s">
        <v>203</v>
      </c>
      <c r="H39" s="27">
        <f t="shared" si="0"/>
        <v>0.10416666666666663</v>
      </c>
      <c r="I39" s="28">
        <v>0.5625</v>
      </c>
      <c r="J39" s="28">
        <v>0.66666666666666663</v>
      </c>
    </row>
    <row r="40" spans="1:10" ht="25.15" x14ac:dyDescent="0.2">
      <c r="A40" s="20">
        <v>46091</v>
      </c>
      <c r="B40" s="20" t="s">
        <v>18</v>
      </c>
      <c r="C40" s="25" t="s">
        <v>114</v>
      </c>
      <c r="D40" s="25"/>
      <c r="E40" s="25" t="s">
        <v>62</v>
      </c>
      <c r="F40" s="25" t="s">
        <v>15</v>
      </c>
      <c r="G40" s="26" t="s">
        <v>204</v>
      </c>
      <c r="H40" s="27">
        <f t="shared" si="0"/>
        <v>2.083333333333337E-2</v>
      </c>
      <c r="I40" s="28">
        <v>0.66666666666666663</v>
      </c>
      <c r="J40" s="28">
        <v>0.6875</v>
      </c>
    </row>
    <row r="41" spans="1:10" ht="12.6" x14ac:dyDescent="0.2">
      <c r="A41" s="20">
        <v>46091</v>
      </c>
      <c r="B41" s="20" t="s">
        <v>18</v>
      </c>
      <c r="C41" s="25" t="s">
        <v>114</v>
      </c>
      <c r="D41" s="25"/>
      <c r="E41" s="25" t="s">
        <v>69</v>
      </c>
      <c r="F41" s="25" t="s">
        <v>15</v>
      </c>
      <c r="G41" s="26" t="s">
        <v>203</v>
      </c>
      <c r="H41" s="27">
        <f t="shared" si="0"/>
        <v>2.083333333333337E-2</v>
      </c>
      <c r="I41" s="28">
        <v>0.6875</v>
      </c>
      <c r="J41" s="28">
        <v>0.70833333333333337</v>
      </c>
    </row>
    <row r="42" spans="1:10" ht="12.6" x14ac:dyDescent="0.2">
      <c r="A42" s="20">
        <v>46092</v>
      </c>
      <c r="B42" s="20" t="s">
        <v>19</v>
      </c>
      <c r="C42" s="25" t="s">
        <v>114</v>
      </c>
      <c r="D42" s="25"/>
      <c r="E42" s="25" t="s">
        <v>62</v>
      </c>
      <c r="F42" s="25" t="s">
        <v>15</v>
      </c>
      <c r="G42" s="26" t="s">
        <v>201</v>
      </c>
      <c r="H42" s="27">
        <f t="shared" si="0"/>
        <v>3.4722222222222654E-3</v>
      </c>
      <c r="I42" s="28">
        <v>0.33333333333333331</v>
      </c>
      <c r="J42" s="28">
        <v>0.33680555555555558</v>
      </c>
    </row>
    <row r="43" spans="1:10" ht="12.6" x14ac:dyDescent="0.2">
      <c r="A43" s="20">
        <v>46092</v>
      </c>
      <c r="B43" s="20" t="s">
        <v>19</v>
      </c>
      <c r="C43" s="25" t="s">
        <v>114</v>
      </c>
      <c r="D43" s="25"/>
      <c r="E43" s="25" t="s">
        <v>69</v>
      </c>
      <c r="F43" s="25" t="s">
        <v>15</v>
      </c>
      <c r="G43" s="26" t="s">
        <v>203</v>
      </c>
      <c r="H43" s="27">
        <f t="shared" si="0"/>
        <v>0.12152777777777773</v>
      </c>
      <c r="I43" s="28">
        <v>0.33680555555555558</v>
      </c>
      <c r="J43" s="28">
        <v>0.45833333333333331</v>
      </c>
    </row>
    <row r="44" spans="1:10" ht="12.6" x14ac:dyDescent="0.2">
      <c r="A44" s="20">
        <v>46092</v>
      </c>
      <c r="B44" s="20" t="s">
        <v>19</v>
      </c>
      <c r="C44" s="25" t="s">
        <v>114</v>
      </c>
      <c r="D44" s="25"/>
      <c r="E44" s="25" t="s">
        <v>62</v>
      </c>
      <c r="F44" s="25" t="s">
        <v>15</v>
      </c>
      <c r="G44" s="26" t="s">
        <v>208</v>
      </c>
      <c r="H44" s="27">
        <f t="shared" si="0"/>
        <v>4.1666666666666685E-2</v>
      </c>
      <c r="I44" s="28">
        <v>0.45833333333333331</v>
      </c>
      <c r="J44" s="28">
        <v>0.5</v>
      </c>
    </row>
    <row r="45" spans="1:10" ht="25.5" x14ac:dyDescent="0.2">
      <c r="A45" s="20">
        <v>46092</v>
      </c>
      <c r="B45" s="20" t="s">
        <v>19</v>
      </c>
      <c r="C45" s="25" t="s">
        <v>114</v>
      </c>
      <c r="D45" s="25"/>
      <c r="E45" s="25" t="s">
        <v>69</v>
      </c>
      <c r="F45" s="25" t="s">
        <v>15</v>
      </c>
      <c r="G45" s="26" t="s">
        <v>209</v>
      </c>
      <c r="H45" s="27">
        <f t="shared" si="0"/>
        <v>2.083333333333337E-2</v>
      </c>
      <c r="I45" s="28">
        <v>0.5</v>
      </c>
      <c r="J45" s="28">
        <v>0.52083333333333337</v>
      </c>
    </row>
    <row r="46" spans="1:10" x14ac:dyDescent="0.2">
      <c r="A46" s="20">
        <v>46092</v>
      </c>
      <c r="B46" s="20" t="s">
        <v>19</v>
      </c>
      <c r="C46" s="25" t="s">
        <v>114</v>
      </c>
      <c r="D46" s="25"/>
      <c r="E46" s="25" t="s">
        <v>69</v>
      </c>
      <c r="F46" s="25" t="s">
        <v>15</v>
      </c>
      <c r="G46" s="26" t="s">
        <v>203</v>
      </c>
      <c r="H46" s="27">
        <f t="shared" si="0"/>
        <v>0.10416666666666663</v>
      </c>
      <c r="I46" s="28">
        <v>0.5625</v>
      </c>
      <c r="J46" s="28">
        <v>0.66666666666666663</v>
      </c>
    </row>
    <row r="47" spans="1:10" ht="25.5" x14ac:dyDescent="0.2">
      <c r="A47" s="20">
        <v>46092</v>
      </c>
      <c r="B47" s="20" t="s">
        <v>19</v>
      </c>
      <c r="C47" s="25" t="s">
        <v>114</v>
      </c>
      <c r="E47" s="25" t="s">
        <v>62</v>
      </c>
      <c r="F47" s="25" t="s">
        <v>15</v>
      </c>
      <c r="G47" s="26" t="s">
        <v>204</v>
      </c>
      <c r="H47" s="27">
        <f t="shared" si="0"/>
        <v>2.083333333333337E-2</v>
      </c>
      <c r="I47" s="28">
        <v>0.66666666666666663</v>
      </c>
      <c r="J47" s="28">
        <v>0.6875</v>
      </c>
    </row>
    <row r="48" spans="1:10" x14ac:dyDescent="0.2">
      <c r="A48" s="20">
        <v>46092</v>
      </c>
      <c r="B48" s="20" t="s">
        <v>19</v>
      </c>
      <c r="C48" s="20" t="s">
        <v>114</v>
      </c>
      <c r="D48" s="25"/>
      <c r="E48" s="25" t="s">
        <v>69</v>
      </c>
      <c r="F48" s="25" t="s">
        <v>15</v>
      </c>
      <c r="G48" s="26" t="s">
        <v>203</v>
      </c>
      <c r="H48" s="27">
        <f t="shared" si="0"/>
        <v>2.083333333333337E-2</v>
      </c>
      <c r="I48" s="28">
        <v>0.6875</v>
      </c>
      <c r="J48" s="28">
        <v>0.70833333333333337</v>
      </c>
    </row>
    <row r="49" spans="1:10" x14ac:dyDescent="0.2">
      <c r="A49" s="20">
        <v>46093</v>
      </c>
      <c r="B49" s="20" t="s">
        <v>20</v>
      </c>
      <c r="C49" s="20" t="s">
        <v>114</v>
      </c>
      <c r="D49" s="25"/>
      <c r="E49" s="25" t="s">
        <v>62</v>
      </c>
      <c r="F49" s="25" t="s">
        <v>15</v>
      </c>
      <c r="G49" s="26" t="s">
        <v>201</v>
      </c>
      <c r="H49" s="27">
        <f t="shared" si="0"/>
        <v>4.1666666666666685E-2</v>
      </c>
      <c r="I49" s="28">
        <v>0.33333333333333331</v>
      </c>
      <c r="J49" s="28">
        <v>0.375</v>
      </c>
    </row>
    <row r="50" spans="1:10" x14ac:dyDescent="0.2">
      <c r="A50" s="20">
        <v>46093</v>
      </c>
      <c r="B50" s="20" t="s">
        <v>20</v>
      </c>
      <c r="C50" s="20" t="s">
        <v>114</v>
      </c>
      <c r="D50" s="25"/>
      <c r="E50" s="25" t="s">
        <v>69</v>
      </c>
      <c r="F50" s="25" t="s">
        <v>15</v>
      </c>
      <c r="G50" s="26" t="s">
        <v>203</v>
      </c>
      <c r="H50" s="27">
        <f t="shared" si="0"/>
        <v>8.3333333333333315E-2</v>
      </c>
      <c r="I50" s="28">
        <v>0.375</v>
      </c>
      <c r="J50" s="28">
        <v>0.45833333333333331</v>
      </c>
    </row>
    <row r="51" spans="1:10" x14ac:dyDescent="0.2">
      <c r="A51" s="20">
        <v>46093</v>
      </c>
      <c r="B51" s="20" t="s">
        <v>20</v>
      </c>
      <c r="C51" s="20" t="s">
        <v>114</v>
      </c>
      <c r="D51" s="25"/>
      <c r="E51" s="25" t="s">
        <v>62</v>
      </c>
      <c r="F51" s="25" t="s">
        <v>15</v>
      </c>
      <c r="G51" s="26" t="s">
        <v>208</v>
      </c>
      <c r="H51" s="27">
        <f t="shared" si="0"/>
        <v>4.1666666666666685E-2</v>
      </c>
      <c r="I51" s="28">
        <v>0.45833333333333331</v>
      </c>
      <c r="J51" s="28">
        <v>0.5</v>
      </c>
    </row>
    <row r="52" spans="1:10" ht="25.5" x14ac:dyDescent="0.2">
      <c r="A52" s="20">
        <v>46093</v>
      </c>
      <c r="B52" s="20" t="s">
        <v>20</v>
      </c>
      <c r="C52" s="20" t="s">
        <v>114</v>
      </c>
      <c r="D52" s="25"/>
      <c r="E52" s="25" t="s">
        <v>60</v>
      </c>
      <c r="F52" s="25" t="s">
        <v>15</v>
      </c>
      <c r="G52" s="26" t="s">
        <v>211</v>
      </c>
      <c r="H52" s="27">
        <f t="shared" si="0"/>
        <v>8.333333333333337E-2</v>
      </c>
      <c r="I52" s="28">
        <v>0.54166666666666663</v>
      </c>
      <c r="J52" s="28">
        <v>0.625</v>
      </c>
    </row>
    <row r="53" spans="1:10" ht="25.5" x14ac:dyDescent="0.2">
      <c r="A53" s="20">
        <v>46093</v>
      </c>
      <c r="B53" s="20" t="s">
        <v>20</v>
      </c>
      <c r="C53" s="20" t="s">
        <v>114</v>
      </c>
      <c r="D53" s="25"/>
      <c r="E53" s="25" t="s">
        <v>62</v>
      </c>
      <c r="F53" s="25" t="s">
        <v>15</v>
      </c>
      <c r="G53" s="26" t="s">
        <v>205</v>
      </c>
      <c r="H53" s="27">
        <f t="shared" si="0"/>
        <v>4.166666666666663E-2</v>
      </c>
      <c r="I53" s="28">
        <v>0.625</v>
      </c>
      <c r="J53" s="28">
        <v>0.66666666666666663</v>
      </c>
    </row>
    <row r="54" spans="1:10" ht="25.5" x14ac:dyDescent="0.2">
      <c r="A54" s="20">
        <v>46093</v>
      </c>
      <c r="B54" s="20" t="s">
        <v>20</v>
      </c>
      <c r="C54" s="20" t="s">
        <v>114</v>
      </c>
      <c r="D54" s="25"/>
      <c r="E54" s="25" t="s">
        <v>62</v>
      </c>
      <c r="F54" s="25" t="s">
        <v>15</v>
      </c>
      <c r="G54" s="26" t="s">
        <v>204</v>
      </c>
      <c r="H54" s="27">
        <f t="shared" si="0"/>
        <v>2.430555555555558E-2</v>
      </c>
      <c r="I54" s="28">
        <v>0.66666666666666663</v>
      </c>
      <c r="J54" s="28">
        <v>0.69097222222222221</v>
      </c>
    </row>
    <row r="55" spans="1:10" x14ac:dyDescent="0.2">
      <c r="A55" s="20">
        <v>46093</v>
      </c>
      <c r="B55" s="20" t="s">
        <v>20</v>
      </c>
      <c r="C55" s="20" t="s">
        <v>114</v>
      </c>
      <c r="D55" s="25"/>
      <c r="E55" s="25" t="s">
        <v>69</v>
      </c>
      <c r="F55" s="25" t="s">
        <v>15</v>
      </c>
      <c r="G55" s="26" t="s">
        <v>203</v>
      </c>
      <c r="H55" s="27">
        <f t="shared" si="0"/>
        <v>1.736111111111116E-2</v>
      </c>
      <c r="I55" s="28">
        <v>0.69097222222222221</v>
      </c>
      <c r="J55" s="28">
        <v>0.70833333333333337</v>
      </c>
    </row>
    <row r="56" spans="1:10" x14ac:dyDescent="0.2">
      <c r="A56" s="20">
        <v>46094</v>
      </c>
      <c r="B56" s="20" t="s">
        <v>11</v>
      </c>
      <c r="C56" s="20" t="s">
        <v>114</v>
      </c>
      <c r="D56" s="25"/>
      <c r="E56" s="25" t="s">
        <v>62</v>
      </c>
      <c r="F56" s="25" t="s">
        <v>15</v>
      </c>
      <c r="G56" s="26" t="s">
        <v>201</v>
      </c>
      <c r="H56" s="27">
        <f t="shared" si="0"/>
        <v>2.083333333333337E-2</v>
      </c>
      <c r="I56" s="28">
        <v>0.33333333333333331</v>
      </c>
      <c r="J56" s="28">
        <v>0.35416666666666669</v>
      </c>
    </row>
    <row r="57" spans="1:10" x14ac:dyDescent="0.2">
      <c r="A57" s="20">
        <v>46094</v>
      </c>
      <c r="B57" s="20" t="s">
        <v>11</v>
      </c>
      <c r="C57" s="20" t="s">
        <v>114</v>
      </c>
      <c r="D57" s="25"/>
      <c r="E57" s="25" t="s">
        <v>69</v>
      </c>
      <c r="F57" s="25" t="s">
        <v>15</v>
      </c>
      <c r="G57" s="26" t="s">
        <v>212</v>
      </c>
      <c r="H57" s="27">
        <f t="shared" si="0"/>
        <v>7.6388888888888895E-2</v>
      </c>
      <c r="I57" s="28">
        <v>0.35416666666666669</v>
      </c>
      <c r="J57" s="28">
        <v>0.43055555555555558</v>
      </c>
    </row>
    <row r="58" spans="1:10" ht="25.5" x14ac:dyDescent="0.2">
      <c r="A58" s="20">
        <v>46094</v>
      </c>
      <c r="B58" s="20" t="s">
        <v>11</v>
      </c>
      <c r="C58" s="20" t="s">
        <v>114</v>
      </c>
      <c r="D58" s="25"/>
      <c r="E58" s="25" t="s">
        <v>62</v>
      </c>
      <c r="F58" s="25" t="s">
        <v>15</v>
      </c>
      <c r="G58" s="26" t="s">
        <v>205</v>
      </c>
      <c r="H58" s="27">
        <f t="shared" si="0"/>
        <v>2.7777777777777735E-2</v>
      </c>
      <c r="I58" s="28">
        <v>0.43055555555555558</v>
      </c>
      <c r="J58" s="28">
        <v>0.45833333333333331</v>
      </c>
    </row>
    <row r="59" spans="1:10" ht="25.5" x14ac:dyDescent="0.2">
      <c r="A59" s="20">
        <v>46094</v>
      </c>
      <c r="B59" s="20" t="s">
        <v>11</v>
      </c>
      <c r="C59" s="20" t="s">
        <v>114</v>
      </c>
      <c r="D59" s="25"/>
      <c r="E59" s="25" t="s">
        <v>66</v>
      </c>
      <c r="F59" s="25" t="s">
        <v>15</v>
      </c>
      <c r="G59" s="26" t="s">
        <v>207</v>
      </c>
      <c r="H59" s="27">
        <f t="shared" si="0"/>
        <v>4.1666666666666685E-2</v>
      </c>
      <c r="I59" s="28">
        <v>0.45833333333333331</v>
      </c>
      <c r="J59" s="28">
        <v>0.5</v>
      </c>
    </row>
    <row r="60" spans="1:10" x14ac:dyDescent="0.2">
      <c r="A60" s="20">
        <v>46094</v>
      </c>
      <c r="B60" s="20" t="s">
        <v>11</v>
      </c>
      <c r="C60" s="20" t="s">
        <v>114</v>
      </c>
      <c r="D60" s="25"/>
      <c r="E60" s="25" t="s">
        <v>69</v>
      </c>
      <c r="F60" s="25" t="s">
        <v>15</v>
      </c>
      <c r="G60" s="26" t="s">
        <v>203</v>
      </c>
      <c r="H60" s="27">
        <f t="shared" si="0"/>
        <v>8.333333333333337E-2</v>
      </c>
      <c r="I60" s="28">
        <v>0.54166666666666663</v>
      </c>
      <c r="J60" s="28">
        <v>0.625</v>
      </c>
    </row>
    <row r="61" spans="1:10" ht="25.5" x14ac:dyDescent="0.2">
      <c r="A61" s="20">
        <v>46094</v>
      </c>
      <c r="B61" s="20" t="s">
        <v>11</v>
      </c>
      <c r="C61" s="20" t="s">
        <v>114</v>
      </c>
      <c r="D61" s="25"/>
      <c r="E61" s="25" t="s">
        <v>62</v>
      </c>
      <c r="F61" s="25" t="s">
        <v>15</v>
      </c>
      <c r="G61" s="26" t="s">
        <v>205</v>
      </c>
      <c r="H61" s="27">
        <f t="shared" si="0"/>
        <v>4.166666666666663E-2</v>
      </c>
      <c r="I61" s="28">
        <v>0.625</v>
      </c>
      <c r="J61" s="28">
        <v>0.66666666666666663</v>
      </c>
    </row>
    <row r="62" spans="1:10" ht="25.5" x14ac:dyDescent="0.2">
      <c r="A62" s="20">
        <v>46094</v>
      </c>
      <c r="B62" s="20" t="s">
        <v>11</v>
      </c>
      <c r="C62" s="20" t="s">
        <v>114</v>
      </c>
      <c r="D62" s="25"/>
      <c r="E62" s="25" t="s">
        <v>62</v>
      </c>
      <c r="F62" s="25" t="s">
        <v>15</v>
      </c>
      <c r="G62" s="26" t="s">
        <v>204</v>
      </c>
      <c r="H62" s="27">
        <f t="shared" si="0"/>
        <v>2.083333333333337E-2</v>
      </c>
      <c r="I62" s="28">
        <v>0.66666666666666663</v>
      </c>
      <c r="J62" s="28">
        <v>0.6875</v>
      </c>
    </row>
    <row r="63" spans="1:10" x14ac:dyDescent="0.2">
      <c r="A63" s="20">
        <v>46094</v>
      </c>
      <c r="B63" s="20" t="s">
        <v>11</v>
      </c>
      <c r="C63" s="20" t="s">
        <v>114</v>
      </c>
      <c r="D63" s="25"/>
      <c r="E63" s="25" t="s">
        <v>69</v>
      </c>
      <c r="F63" s="25" t="s">
        <v>15</v>
      </c>
      <c r="G63" s="26" t="s">
        <v>203</v>
      </c>
      <c r="H63" s="27">
        <f t="shared" si="0"/>
        <v>2.083333333333337E-2</v>
      </c>
      <c r="I63" s="28">
        <v>0.6875</v>
      </c>
      <c r="J63" s="28">
        <v>0.70833333333333337</v>
      </c>
    </row>
    <row r="64" spans="1:10" x14ac:dyDescent="0.2">
      <c r="A64" s="29">
        <v>46095</v>
      </c>
      <c r="B64" s="29" t="s">
        <v>14</v>
      </c>
      <c r="C64" s="30"/>
      <c r="D64" s="30"/>
      <c r="E64" s="30"/>
      <c r="F64" s="30"/>
      <c r="G64" s="31"/>
      <c r="H64" s="32">
        <f t="shared" si="0"/>
        <v>0</v>
      </c>
      <c r="I64" s="33"/>
      <c r="J64" s="33"/>
    </row>
    <row r="65" spans="1:10" x14ac:dyDescent="0.2">
      <c r="A65" s="29">
        <v>46096</v>
      </c>
      <c r="B65" s="29" t="s">
        <v>16</v>
      </c>
      <c r="C65" s="30"/>
      <c r="D65" s="30"/>
      <c r="E65" s="30"/>
      <c r="F65" s="30"/>
      <c r="G65" s="31"/>
      <c r="H65" s="32">
        <f t="shared" si="0"/>
        <v>0</v>
      </c>
      <c r="I65" s="33"/>
      <c r="J65" s="33"/>
    </row>
    <row r="66" spans="1:10" x14ac:dyDescent="0.2">
      <c r="A66" s="20">
        <v>46097</v>
      </c>
      <c r="B66" s="20" t="s">
        <v>17</v>
      </c>
      <c r="C66" s="25" t="s">
        <v>114</v>
      </c>
      <c r="D66" s="25"/>
      <c r="E66" s="25" t="s">
        <v>62</v>
      </c>
      <c r="F66" s="25" t="s">
        <v>15</v>
      </c>
      <c r="G66" s="26" t="s">
        <v>201</v>
      </c>
      <c r="H66" s="27">
        <f t="shared" si="0"/>
        <v>4.1666666666666685E-2</v>
      </c>
      <c r="I66" s="28">
        <v>0.33333333333333331</v>
      </c>
      <c r="J66" s="28">
        <v>0.375</v>
      </c>
    </row>
    <row r="67" spans="1:10" ht="25.5" x14ac:dyDescent="0.2">
      <c r="A67" s="20">
        <v>46097</v>
      </c>
      <c r="B67" s="20" t="s">
        <v>17</v>
      </c>
      <c r="C67" s="25" t="s">
        <v>114</v>
      </c>
      <c r="D67" s="25"/>
      <c r="E67" s="25" t="s">
        <v>62</v>
      </c>
      <c r="F67" s="25" t="s">
        <v>15</v>
      </c>
      <c r="G67" s="26" t="s">
        <v>210</v>
      </c>
      <c r="H67" s="27">
        <f t="shared" si="0"/>
        <v>3.472222222222221E-2</v>
      </c>
      <c r="I67" s="28">
        <v>0.375</v>
      </c>
      <c r="J67" s="28">
        <v>0.40972222222222221</v>
      </c>
    </row>
    <row r="68" spans="1:10" x14ac:dyDescent="0.2">
      <c r="A68" s="20">
        <v>46097</v>
      </c>
      <c r="B68" s="20" t="s">
        <v>17</v>
      </c>
      <c r="C68" s="25" t="s">
        <v>114</v>
      </c>
      <c r="D68" s="25"/>
      <c r="E68" s="25" t="s">
        <v>69</v>
      </c>
      <c r="F68" s="25" t="s">
        <v>15</v>
      </c>
      <c r="G68" s="26" t="s">
        <v>213</v>
      </c>
      <c r="H68" s="27">
        <f t="shared" si="0"/>
        <v>1.7361111111111105E-2</v>
      </c>
      <c r="I68" s="28">
        <v>0.40972222222222221</v>
      </c>
      <c r="J68" s="28">
        <v>0.42708333333333331</v>
      </c>
    </row>
    <row r="69" spans="1:10" ht="25.5" x14ac:dyDescent="0.2">
      <c r="A69" s="20">
        <v>46097</v>
      </c>
      <c r="B69" s="20" t="s">
        <v>17</v>
      </c>
      <c r="C69" s="25" t="s">
        <v>114</v>
      </c>
      <c r="D69" s="25"/>
      <c r="E69" s="25" t="s">
        <v>69</v>
      </c>
      <c r="F69" s="25" t="s">
        <v>15</v>
      </c>
      <c r="G69" s="26" t="s">
        <v>214</v>
      </c>
      <c r="H69" s="27">
        <f t="shared" si="0"/>
        <v>3.125E-2</v>
      </c>
      <c r="I69" s="28">
        <v>0.42708333333333331</v>
      </c>
      <c r="J69" s="28">
        <v>0.45833333333333331</v>
      </c>
    </row>
    <row r="70" spans="1:10" x14ac:dyDescent="0.2">
      <c r="A70" s="20">
        <v>46097</v>
      </c>
      <c r="B70" s="20" t="s">
        <v>17</v>
      </c>
      <c r="C70" s="25" t="s">
        <v>114</v>
      </c>
      <c r="D70" s="25"/>
      <c r="E70" s="25" t="s">
        <v>62</v>
      </c>
      <c r="F70" s="25" t="s">
        <v>15</v>
      </c>
      <c r="G70" s="26" t="s">
        <v>208</v>
      </c>
      <c r="H70" s="27">
        <f t="shared" si="0"/>
        <v>4.1666666666666685E-2</v>
      </c>
      <c r="I70" s="28">
        <v>0.45833333333333331</v>
      </c>
      <c r="J70" s="28">
        <v>0.5</v>
      </c>
    </row>
    <row r="71" spans="1:10" x14ac:dyDescent="0.2">
      <c r="A71" s="20">
        <v>46097</v>
      </c>
      <c r="B71" s="20" t="s">
        <v>17</v>
      </c>
      <c r="C71" s="25" t="s">
        <v>114</v>
      </c>
      <c r="D71" s="25"/>
      <c r="E71" s="25" t="s">
        <v>69</v>
      </c>
      <c r="F71" s="25" t="s">
        <v>15</v>
      </c>
      <c r="G71" s="26" t="s">
        <v>215</v>
      </c>
      <c r="H71" s="27">
        <f t="shared" si="0"/>
        <v>2.083333333333337E-2</v>
      </c>
      <c r="I71" s="28">
        <v>0.5</v>
      </c>
      <c r="J71" s="28">
        <v>0.52083333333333337</v>
      </c>
    </row>
    <row r="72" spans="1:10" x14ac:dyDescent="0.2">
      <c r="A72" s="20">
        <v>46097</v>
      </c>
      <c r="B72" s="20" t="s">
        <v>17</v>
      </c>
      <c r="C72" s="25" t="s">
        <v>114</v>
      </c>
      <c r="D72" s="25"/>
      <c r="E72" s="25" t="s">
        <v>69</v>
      </c>
      <c r="F72" s="25" t="s">
        <v>15</v>
      </c>
      <c r="G72" s="26" t="s">
        <v>203</v>
      </c>
      <c r="H72" s="27">
        <f t="shared" si="0"/>
        <v>2.083333333333337E-2</v>
      </c>
      <c r="I72" s="28">
        <v>0.5625</v>
      </c>
      <c r="J72" s="28">
        <v>0.58333333333333337</v>
      </c>
    </row>
    <row r="73" spans="1:10" ht="25.5" x14ac:dyDescent="0.2">
      <c r="A73" s="20">
        <v>46097</v>
      </c>
      <c r="B73" s="20" t="s">
        <v>17</v>
      </c>
      <c r="C73" s="25" t="s">
        <v>114</v>
      </c>
      <c r="D73" s="25"/>
      <c r="E73" s="25" t="s">
        <v>62</v>
      </c>
      <c r="F73" s="25" t="s">
        <v>15</v>
      </c>
      <c r="G73" s="26" t="s">
        <v>205</v>
      </c>
      <c r="H73" s="27">
        <f t="shared" si="0"/>
        <v>5.902777777777779E-2</v>
      </c>
      <c r="I73" s="28">
        <v>0.58333333333333337</v>
      </c>
      <c r="J73" s="28">
        <v>0.64236111111111116</v>
      </c>
    </row>
    <row r="74" spans="1:10" x14ac:dyDescent="0.2">
      <c r="A74" s="20">
        <v>46097</v>
      </c>
      <c r="B74" s="20" t="s">
        <v>17</v>
      </c>
      <c r="C74" s="25" t="s">
        <v>114</v>
      </c>
      <c r="D74" s="25"/>
      <c r="E74" s="25" t="s">
        <v>69</v>
      </c>
      <c r="F74" s="25" t="s">
        <v>15</v>
      </c>
      <c r="G74" s="26" t="s">
        <v>203</v>
      </c>
      <c r="H74" s="27">
        <f t="shared" si="0"/>
        <v>2.4305555555555469E-2</v>
      </c>
      <c r="I74" s="28">
        <v>0.64236111111111116</v>
      </c>
      <c r="J74" s="28">
        <v>0.66666666666666663</v>
      </c>
    </row>
    <row r="75" spans="1:10" ht="25.5" x14ac:dyDescent="0.2">
      <c r="A75" s="20">
        <v>46097</v>
      </c>
      <c r="B75" s="20" t="s">
        <v>17</v>
      </c>
      <c r="C75" s="25" t="s">
        <v>114</v>
      </c>
      <c r="D75" s="25"/>
      <c r="E75" s="25" t="s">
        <v>62</v>
      </c>
      <c r="F75" s="25" t="s">
        <v>15</v>
      </c>
      <c r="G75" s="26" t="s">
        <v>204</v>
      </c>
      <c r="H75" s="27">
        <f t="shared" si="0"/>
        <v>2.083333333333337E-2</v>
      </c>
      <c r="I75" s="28">
        <v>0.66666666666666663</v>
      </c>
      <c r="J75" s="28">
        <v>0.6875</v>
      </c>
    </row>
    <row r="76" spans="1:10" x14ac:dyDescent="0.2">
      <c r="A76" s="20">
        <v>46097</v>
      </c>
      <c r="B76" s="20" t="s">
        <v>17</v>
      </c>
      <c r="C76" s="25" t="s">
        <v>114</v>
      </c>
      <c r="D76" s="25"/>
      <c r="E76" s="25" t="s">
        <v>69</v>
      </c>
      <c r="F76" s="25" t="s">
        <v>15</v>
      </c>
      <c r="G76" s="26" t="s">
        <v>203</v>
      </c>
      <c r="H76" s="27">
        <f t="shared" si="0"/>
        <v>2.083333333333337E-2</v>
      </c>
      <c r="I76" s="28">
        <v>0.6875</v>
      </c>
      <c r="J76" s="28">
        <v>0.70833333333333337</v>
      </c>
    </row>
    <row r="77" spans="1:10" x14ac:dyDescent="0.2">
      <c r="A77" s="20">
        <v>46098</v>
      </c>
      <c r="B77" s="20" t="s">
        <v>18</v>
      </c>
      <c r="C77" s="25" t="s">
        <v>114</v>
      </c>
      <c r="D77" s="25"/>
      <c r="E77" s="25" t="s">
        <v>62</v>
      </c>
      <c r="F77" s="25" t="s">
        <v>15</v>
      </c>
      <c r="G77" s="26" t="s">
        <v>201</v>
      </c>
      <c r="H77" s="27">
        <f t="shared" si="0"/>
        <v>3.4722222222222265E-2</v>
      </c>
      <c r="I77" s="28">
        <v>0.33333333333333331</v>
      </c>
      <c r="J77" s="28">
        <v>0.36805555555555558</v>
      </c>
    </row>
    <row r="78" spans="1:10" x14ac:dyDescent="0.2">
      <c r="A78" s="20">
        <v>46098</v>
      </c>
      <c r="B78" s="20" t="s">
        <v>18</v>
      </c>
      <c r="C78" s="25" t="s">
        <v>114</v>
      </c>
      <c r="D78" s="25"/>
      <c r="E78" s="25" t="s">
        <v>69</v>
      </c>
      <c r="F78" s="25" t="s">
        <v>15</v>
      </c>
      <c r="G78" s="26" t="s">
        <v>215</v>
      </c>
      <c r="H78" s="27">
        <f t="shared" si="0"/>
        <v>4.8611111111111105E-2</v>
      </c>
      <c r="I78" s="28">
        <v>0.36805555555555558</v>
      </c>
      <c r="J78" s="28">
        <v>0.41666666666666669</v>
      </c>
    </row>
    <row r="79" spans="1:10" ht="25.5" x14ac:dyDescent="0.2">
      <c r="A79" s="20">
        <v>46098</v>
      </c>
      <c r="B79" s="20" t="s">
        <v>18</v>
      </c>
      <c r="C79" s="25" t="s">
        <v>114</v>
      </c>
      <c r="D79" s="25"/>
      <c r="E79" s="25" t="s">
        <v>62</v>
      </c>
      <c r="F79" s="25" t="s">
        <v>15</v>
      </c>
      <c r="G79" s="26" t="s">
        <v>205</v>
      </c>
      <c r="H79" s="27">
        <f t="shared" si="0"/>
        <v>2.0833333333333315E-2</v>
      </c>
      <c r="I79" s="28">
        <v>0.41666666666666669</v>
      </c>
      <c r="J79" s="28">
        <v>0.4375</v>
      </c>
    </row>
    <row r="80" spans="1:10" x14ac:dyDescent="0.2">
      <c r="A80" s="20">
        <v>46098</v>
      </c>
      <c r="B80" s="20" t="s">
        <v>18</v>
      </c>
      <c r="C80" s="25" t="s">
        <v>114</v>
      </c>
      <c r="D80" s="25"/>
      <c r="E80" s="25" t="s">
        <v>69</v>
      </c>
      <c r="F80" s="25" t="s">
        <v>15</v>
      </c>
      <c r="G80" s="26" t="s">
        <v>212</v>
      </c>
      <c r="H80" s="27">
        <f t="shared" si="0"/>
        <v>2.0833333333333315E-2</v>
      </c>
      <c r="I80" s="28">
        <v>0.4375</v>
      </c>
      <c r="J80" s="28">
        <v>0.45833333333333331</v>
      </c>
    </row>
    <row r="81" spans="1:10" x14ac:dyDescent="0.2">
      <c r="A81" s="20">
        <v>46098</v>
      </c>
      <c r="B81" s="20" t="s">
        <v>18</v>
      </c>
      <c r="C81" s="25" t="s">
        <v>114</v>
      </c>
      <c r="D81" s="25"/>
      <c r="E81" s="25" t="s">
        <v>62</v>
      </c>
      <c r="F81" s="25" t="s">
        <v>15</v>
      </c>
      <c r="G81" s="26" t="s">
        <v>208</v>
      </c>
      <c r="H81" s="27">
        <f t="shared" si="0"/>
        <v>5.2083333333333315E-2</v>
      </c>
      <c r="I81" s="28">
        <v>0.45833333333333331</v>
      </c>
      <c r="J81" s="28">
        <v>0.51041666666666663</v>
      </c>
    </row>
    <row r="82" spans="1:10" x14ac:dyDescent="0.2">
      <c r="A82" s="20">
        <v>46098</v>
      </c>
      <c r="B82" s="20" t="s">
        <v>18</v>
      </c>
      <c r="C82" s="25" t="s">
        <v>114</v>
      </c>
      <c r="D82" s="25"/>
      <c r="E82" s="25" t="s">
        <v>69</v>
      </c>
      <c r="F82" s="25" t="s">
        <v>15</v>
      </c>
      <c r="G82" s="26" t="s">
        <v>215</v>
      </c>
      <c r="H82" s="27">
        <f t="shared" si="0"/>
        <v>7.291666666666663E-2</v>
      </c>
      <c r="I82" s="28">
        <v>0.55208333333333337</v>
      </c>
      <c r="J82" s="28">
        <v>0.625</v>
      </c>
    </row>
    <row r="83" spans="1:10" ht="25.5" x14ac:dyDescent="0.2">
      <c r="A83" s="20">
        <v>46098</v>
      </c>
      <c r="B83" s="20" t="s">
        <v>18</v>
      </c>
      <c r="C83" s="25" t="s">
        <v>114</v>
      </c>
      <c r="D83" s="25"/>
      <c r="E83" s="25" t="s">
        <v>62</v>
      </c>
      <c r="F83" s="25" t="s">
        <v>15</v>
      </c>
      <c r="G83" s="26" t="s">
        <v>216</v>
      </c>
      <c r="H83" s="27">
        <f t="shared" si="0"/>
        <v>0.1166666666666667</v>
      </c>
      <c r="I83" s="28">
        <v>0.625</v>
      </c>
      <c r="J83" s="28">
        <v>0.7416666666666667</v>
      </c>
    </row>
    <row r="84" spans="1:10" x14ac:dyDescent="0.2">
      <c r="A84" s="20">
        <v>46099</v>
      </c>
      <c r="B84" s="20" t="s">
        <v>19</v>
      </c>
      <c r="C84" s="25" t="s">
        <v>114</v>
      </c>
      <c r="D84" s="25"/>
      <c r="E84" s="25" t="s">
        <v>62</v>
      </c>
      <c r="F84" s="25" t="s">
        <v>15</v>
      </c>
      <c r="G84" s="26" t="s">
        <v>201</v>
      </c>
      <c r="H84" s="27">
        <f t="shared" si="0"/>
        <v>2.6388888888888906E-2</v>
      </c>
      <c r="I84" s="28">
        <v>0.33333333333333331</v>
      </c>
      <c r="J84" s="28">
        <v>0.35972222222222222</v>
      </c>
    </row>
    <row r="85" spans="1:10" x14ac:dyDescent="0.2">
      <c r="A85" s="20">
        <v>46099</v>
      </c>
      <c r="B85" s="20" t="s">
        <v>19</v>
      </c>
      <c r="C85" s="25" t="s">
        <v>114</v>
      </c>
      <c r="D85" s="25"/>
      <c r="E85" s="25" t="s">
        <v>69</v>
      </c>
      <c r="F85" s="25" t="s">
        <v>15</v>
      </c>
      <c r="G85" s="26" t="s">
        <v>203</v>
      </c>
      <c r="H85" s="27">
        <f t="shared" ref="H85:H93" si="1">J85-I85</f>
        <v>9.8611111111111094E-2</v>
      </c>
      <c r="I85" s="28">
        <v>0.35972222222222222</v>
      </c>
      <c r="J85" s="28">
        <v>0.45833333333333331</v>
      </c>
    </row>
    <row r="86" spans="1:10" x14ac:dyDescent="0.2">
      <c r="A86" s="20">
        <v>46099</v>
      </c>
      <c r="B86" s="20" t="s">
        <v>19</v>
      </c>
      <c r="C86" s="25" t="s">
        <v>114</v>
      </c>
      <c r="D86" s="25"/>
      <c r="E86" s="25" t="s">
        <v>62</v>
      </c>
      <c r="F86" s="25" t="s">
        <v>15</v>
      </c>
      <c r="G86" s="26" t="s">
        <v>208</v>
      </c>
      <c r="H86" s="27">
        <f t="shared" si="1"/>
        <v>3.8888888888888917E-2</v>
      </c>
      <c r="I86" s="28">
        <v>0.45833333333333331</v>
      </c>
      <c r="J86" s="28">
        <v>0.49722222222222223</v>
      </c>
    </row>
    <row r="87" spans="1:10" ht="25.5" x14ac:dyDescent="0.2">
      <c r="A87" s="20">
        <v>46099</v>
      </c>
      <c r="B87" s="20" t="s">
        <v>19</v>
      </c>
      <c r="C87" s="25" t="s">
        <v>114</v>
      </c>
      <c r="D87" s="25"/>
      <c r="E87" s="25" t="s">
        <v>62</v>
      </c>
      <c r="F87" s="25" t="s">
        <v>15</v>
      </c>
      <c r="G87" s="26" t="s">
        <v>205</v>
      </c>
      <c r="H87" s="27">
        <f t="shared" si="1"/>
        <v>6.2499999999999778E-3</v>
      </c>
      <c r="I87" s="28">
        <v>0.49722222222222223</v>
      </c>
      <c r="J87" s="28">
        <v>0.50347222222222221</v>
      </c>
    </row>
    <row r="88" spans="1:10" x14ac:dyDescent="0.2">
      <c r="A88" s="20"/>
      <c r="B88" s="20"/>
      <c r="C88" s="25"/>
      <c r="D88" s="25"/>
      <c r="E88" s="25"/>
      <c r="F88" s="25"/>
      <c r="G88" s="26" t="s">
        <v>203</v>
      </c>
      <c r="H88" s="27">
        <f t="shared" si="1"/>
        <v>1.736111111111116E-2</v>
      </c>
      <c r="I88" s="28">
        <v>0.50347222222222221</v>
      </c>
      <c r="J88" s="28">
        <v>0.52083333333333337</v>
      </c>
    </row>
    <row r="89" spans="1:10" x14ac:dyDescent="0.2">
      <c r="A89" s="20">
        <v>46099</v>
      </c>
      <c r="B89" s="20" t="s">
        <v>19</v>
      </c>
      <c r="C89" s="25" t="s">
        <v>114</v>
      </c>
      <c r="D89" s="25"/>
      <c r="E89" s="25" t="s">
        <v>69</v>
      </c>
      <c r="F89" s="25" t="s">
        <v>15</v>
      </c>
      <c r="G89" s="26" t="s">
        <v>215</v>
      </c>
      <c r="H89" s="27">
        <f t="shared" si="1"/>
        <v>2.083333333333337E-2</v>
      </c>
      <c r="I89" s="28">
        <v>0.5625</v>
      </c>
      <c r="J89" s="28">
        <v>0.58333333333333337</v>
      </c>
    </row>
    <row r="90" spans="1:10" ht="25.5" x14ac:dyDescent="0.2">
      <c r="A90" s="20">
        <v>46099</v>
      </c>
      <c r="B90" s="20" t="s">
        <v>19</v>
      </c>
      <c r="C90" s="25" t="s">
        <v>114</v>
      </c>
      <c r="D90" s="25"/>
      <c r="E90" s="25" t="s">
        <v>62</v>
      </c>
      <c r="F90" s="25" t="s">
        <v>15</v>
      </c>
      <c r="G90" s="26" t="s">
        <v>205</v>
      </c>
      <c r="H90" s="27">
        <f t="shared" si="1"/>
        <v>1.7361111111111049E-2</v>
      </c>
      <c r="I90" s="28">
        <v>0.58333333333333337</v>
      </c>
      <c r="J90" s="28">
        <v>0.60069444444444442</v>
      </c>
    </row>
    <row r="91" spans="1:10" x14ac:dyDescent="0.2">
      <c r="A91" s="20">
        <v>46099</v>
      </c>
      <c r="B91" s="20" t="s">
        <v>19</v>
      </c>
      <c r="C91" s="25" t="s">
        <v>114</v>
      </c>
      <c r="D91" s="25"/>
      <c r="E91" s="25" t="s">
        <v>69</v>
      </c>
      <c r="F91" s="25" t="s">
        <v>15</v>
      </c>
      <c r="G91" s="26" t="s">
        <v>215</v>
      </c>
      <c r="H91" s="27">
        <f t="shared" si="1"/>
        <v>6.597222222222221E-2</v>
      </c>
      <c r="I91" s="28">
        <v>0.60069444444444442</v>
      </c>
      <c r="J91" s="28">
        <v>0.66666666666666663</v>
      </c>
    </row>
    <row r="92" spans="1:10" ht="25.5" x14ac:dyDescent="0.2">
      <c r="A92" s="20">
        <v>46099</v>
      </c>
      <c r="B92" s="20" t="s">
        <v>19</v>
      </c>
      <c r="C92" s="25" t="s">
        <v>114</v>
      </c>
      <c r="D92" s="25"/>
      <c r="E92" s="25" t="s">
        <v>62</v>
      </c>
      <c r="F92" s="25" t="s">
        <v>15</v>
      </c>
      <c r="G92" s="26" t="s">
        <v>204</v>
      </c>
      <c r="H92" s="27">
        <f t="shared" si="1"/>
        <v>4.1666666666666741E-2</v>
      </c>
      <c r="I92" s="28">
        <v>0.66666666666666663</v>
      </c>
      <c r="J92" s="28">
        <v>0.70833333333333337</v>
      </c>
    </row>
    <row r="93" spans="1:10" x14ac:dyDescent="0.2">
      <c r="A93" s="20">
        <v>46100</v>
      </c>
      <c r="B93" s="20" t="s">
        <v>20</v>
      </c>
      <c r="C93" s="25" t="s">
        <v>114</v>
      </c>
      <c r="D93" s="25"/>
      <c r="E93" s="25" t="s">
        <v>62</v>
      </c>
      <c r="F93" s="25" t="s">
        <v>15</v>
      </c>
      <c r="G93" s="26" t="s">
        <v>201</v>
      </c>
      <c r="H93" s="27">
        <f t="shared" si="1"/>
        <v>1.5972222222222221E-2</v>
      </c>
      <c r="I93" s="28">
        <v>0.33333333333333331</v>
      </c>
      <c r="J93" s="28">
        <v>0.34930555555555554</v>
      </c>
    </row>
    <row r="94" spans="1:10" x14ac:dyDescent="0.2">
      <c r="A94" s="20">
        <v>46100</v>
      </c>
      <c r="B94" s="20" t="s">
        <v>20</v>
      </c>
      <c r="C94" s="25" t="s">
        <v>114</v>
      </c>
      <c r="D94" s="25"/>
      <c r="E94" s="25" t="s">
        <v>69</v>
      </c>
      <c r="F94" s="25" t="s">
        <v>15</v>
      </c>
      <c r="G94" s="26" t="s">
        <v>215</v>
      </c>
      <c r="H94" s="27">
        <f t="shared" ref="H94:H102" si="2">J94-I94</f>
        <v>6.7361111111111149E-2</v>
      </c>
      <c r="I94" s="28">
        <v>0.34930555555555554</v>
      </c>
      <c r="J94" s="28">
        <v>0.41666666666666669</v>
      </c>
    </row>
    <row r="95" spans="1:10" x14ac:dyDescent="0.2">
      <c r="A95" s="20">
        <v>46100</v>
      </c>
      <c r="B95" s="20" t="s">
        <v>20</v>
      </c>
      <c r="C95" s="25" t="s">
        <v>114</v>
      </c>
      <c r="D95" s="25"/>
      <c r="E95" s="25" t="s">
        <v>69</v>
      </c>
      <c r="F95" s="25" t="s">
        <v>15</v>
      </c>
      <c r="G95" s="26" t="s">
        <v>203</v>
      </c>
      <c r="H95" s="27">
        <f t="shared" si="2"/>
        <v>4.166666666666663E-2</v>
      </c>
      <c r="I95" s="28">
        <v>0.41666666666666669</v>
      </c>
      <c r="J95" s="28">
        <v>0.45833333333333331</v>
      </c>
    </row>
    <row r="96" spans="1:10" x14ac:dyDescent="0.2">
      <c r="A96" s="20">
        <v>46100</v>
      </c>
      <c r="B96" s="20" t="s">
        <v>20</v>
      </c>
      <c r="C96" s="25" t="s">
        <v>114</v>
      </c>
      <c r="D96" s="25"/>
      <c r="E96" s="25" t="s">
        <v>62</v>
      </c>
      <c r="F96" s="25" t="s">
        <v>15</v>
      </c>
      <c r="G96" s="26" t="s">
        <v>208</v>
      </c>
      <c r="H96" s="27">
        <f t="shared" si="2"/>
        <v>5.3472222222222199E-2</v>
      </c>
      <c r="I96" s="28">
        <v>0.45833333333333331</v>
      </c>
      <c r="J96" s="28">
        <v>0.51180555555555551</v>
      </c>
    </row>
    <row r="97" spans="1:10" x14ac:dyDescent="0.2">
      <c r="A97" s="20">
        <v>46100</v>
      </c>
      <c r="B97" s="20" t="s">
        <v>20</v>
      </c>
      <c r="C97" s="25" t="s">
        <v>114</v>
      </c>
      <c r="D97" s="25"/>
      <c r="E97" s="25" t="s">
        <v>69</v>
      </c>
      <c r="F97" s="25" t="s">
        <v>15</v>
      </c>
      <c r="G97" s="26" t="s">
        <v>203</v>
      </c>
      <c r="H97" s="27">
        <f t="shared" si="2"/>
        <v>9.0277777777778567E-3</v>
      </c>
      <c r="I97" s="28">
        <v>0.51180555555555551</v>
      </c>
      <c r="J97" s="28">
        <v>0.52083333333333337</v>
      </c>
    </row>
    <row r="98" spans="1:10" x14ac:dyDescent="0.2">
      <c r="A98" s="20">
        <v>46100</v>
      </c>
      <c r="B98" s="20" t="s">
        <v>20</v>
      </c>
      <c r="C98" s="25" t="s">
        <v>114</v>
      </c>
      <c r="D98" s="25"/>
      <c r="E98" s="25" t="s">
        <v>69</v>
      </c>
      <c r="F98" s="25" t="s">
        <v>15</v>
      </c>
      <c r="G98" s="26" t="s">
        <v>215</v>
      </c>
      <c r="H98" s="27">
        <f t="shared" si="2"/>
        <v>2.083333333333337E-2</v>
      </c>
      <c r="I98" s="28">
        <v>0.5625</v>
      </c>
      <c r="J98" s="28">
        <v>0.58333333333333337</v>
      </c>
    </row>
    <row r="99" spans="1:10" ht="25.5" x14ac:dyDescent="0.2">
      <c r="A99" s="20">
        <v>46100</v>
      </c>
      <c r="B99" s="20" t="s">
        <v>20</v>
      </c>
      <c r="C99" s="25" t="s">
        <v>114</v>
      </c>
      <c r="D99" s="25"/>
      <c r="E99" s="25" t="s">
        <v>62</v>
      </c>
      <c r="F99" s="25" t="s">
        <v>15</v>
      </c>
      <c r="G99" s="26" t="s">
        <v>205</v>
      </c>
      <c r="H99" s="27">
        <f t="shared" si="2"/>
        <v>3.4722222222222099E-3</v>
      </c>
      <c r="I99" s="28">
        <v>0.58333333333333337</v>
      </c>
      <c r="J99" s="28">
        <v>0.58680555555555558</v>
      </c>
    </row>
    <row r="100" spans="1:10" x14ac:dyDescent="0.2">
      <c r="A100" s="20">
        <v>46100</v>
      </c>
      <c r="B100" s="20" t="s">
        <v>20</v>
      </c>
      <c r="C100" s="25" t="s">
        <v>114</v>
      </c>
      <c r="D100" s="25"/>
      <c r="E100" s="25" t="s">
        <v>69</v>
      </c>
      <c r="F100" s="25" t="s">
        <v>15</v>
      </c>
      <c r="G100" s="26" t="s">
        <v>217</v>
      </c>
      <c r="H100" s="27">
        <f t="shared" si="2"/>
        <v>3.819444444444442E-2</v>
      </c>
      <c r="I100" s="28">
        <v>0.58680555555555558</v>
      </c>
      <c r="J100" s="28">
        <v>0.625</v>
      </c>
    </row>
    <row r="101" spans="1:10" x14ac:dyDescent="0.2">
      <c r="A101" s="20">
        <v>46100</v>
      </c>
      <c r="B101" s="20" t="s">
        <v>20</v>
      </c>
      <c r="C101" s="25" t="s">
        <v>114</v>
      </c>
      <c r="D101" s="25"/>
      <c r="E101" s="25" t="s">
        <v>69</v>
      </c>
      <c r="F101" s="25" t="s">
        <v>15</v>
      </c>
      <c r="G101" s="26" t="s">
        <v>215</v>
      </c>
      <c r="H101" s="27">
        <f t="shared" si="2"/>
        <v>4.166666666666663E-2</v>
      </c>
      <c r="I101" s="28">
        <v>0.625</v>
      </c>
      <c r="J101" s="28">
        <v>0.66666666666666663</v>
      </c>
    </row>
    <row r="102" spans="1:10" ht="25.5" x14ac:dyDescent="0.2">
      <c r="A102" s="20">
        <v>46100</v>
      </c>
      <c r="B102" s="20" t="s">
        <v>20</v>
      </c>
      <c r="C102" s="25" t="s">
        <v>114</v>
      </c>
      <c r="D102" s="25"/>
      <c r="E102" s="25" t="s">
        <v>62</v>
      </c>
      <c r="F102" s="25" t="s">
        <v>15</v>
      </c>
      <c r="G102" s="26" t="s">
        <v>204</v>
      </c>
      <c r="H102" s="27">
        <f t="shared" si="2"/>
        <v>4.1666666666666741E-2</v>
      </c>
      <c r="I102" s="28">
        <v>0.66666666666666663</v>
      </c>
      <c r="J102" s="28">
        <v>0.70833333333333337</v>
      </c>
    </row>
    <row r="103" spans="1:10" x14ac:dyDescent="0.2">
      <c r="A103" s="20">
        <v>46101</v>
      </c>
      <c r="B103" s="20" t="s">
        <v>11</v>
      </c>
      <c r="C103" s="25" t="s">
        <v>114</v>
      </c>
      <c r="D103" s="25"/>
      <c r="E103" s="25" t="s">
        <v>62</v>
      </c>
      <c r="F103" s="25" t="s">
        <v>15</v>
      </c>
      <c r="G103" s="26" t="s">
        <v>201</v>
      </c>
      <c r="H103" s="27">
        <f>J103-I103</f>
        <v>6.9444444444444753E-3</v>
      </c>
      <c r="I103" s="28">
        <v>0.33333333333333331</v>
      </c>
      <c r="J103" s="28">
        <v>0.34027777777777779</v>
      </c>
    </row>
    <row r="104" spans="1:10" x14ac:dyDescent="0.2">
      <c r="A104" s="20">
        <v>46101</v>
      </c>
      <c r="B104" s="20" t="s">
        <v>11</v>
      </c>
      <c r="C104" s="25" t="s">
        <v>114</v>
      </c>
      <c r="D104" s="25"/>
      <c r="E104" s="25" t="s">
        <v>69</v>
      </c>
      <c r="F104" s="25" t="s">
        <v>15</v>
      </c>
      <c r="G104" s="26" t="s">
        <v>215</v>
      </c>
      <c r="H104" s="27">
        <f t="shared" ref="H104:H112" si="3">J104-I104</f>
        <v>0.11805555555555552</v>
      </c>
      <c r="I104" s="28">
        <v>0.34027777777777779</v>
      </c>
      <c r="J104" s="28">
        <v>0.45833333333333331</v>
      </c>
    </row>
    <row r="105" spans="1:10" x14ac:dyDescent="0.2">
      <c r="A105" s="20">
        <v>46101</v>
      </c>
      <c r="B105" s="20" t="s">
        <v>11</v>
      </c>
      <c r="C105" s="25" t="s">
        <v>114</v>
      </c>
      <c r="D105" s="25"/>
      <c r="E105" s="25" t="s">
        <v>62</v>
      </c>
      <c r="F105" s="25" t="s">
        <v>15</v>
      </c>
      <c r="G105" s="26" t="s">
        <v>208</v>
      </c>
      <c r="H105" s="27">
        <f t="shared" si="3"/>
        <v>2.9861111111111116E-2</v>
      </c>
      <c r="I105" s="28">
        <v>0.45833333333333331</v>
      </c>
      <c r="J105" s="28">
        <v>0.48819444444444443</v>
      </c>
    </row>
    <row r="106" spans="1:10" x14ac:dyDescent="0.2">
      <c r="A106" s="20">
        <v>46101</v>
      </c>
      <c r="B106" s="20" t="s">
        <v>11</v>
      </c>
      <c r="C106" s="25" t="s">
        <v>114</v>
      </c>
      <c r="D106" s="25"/>
      <c r="E106" s="25" t="s">
        <v>69</v>
      </c>
      <c r="F106" s="25" t="s">
        <v>15</v>
      </c>
      <c r="G106" s="26" t="s">
        <v>215</v>
      </c>
      <c r="H106" s="27">
        <f t="shared" si="3"/>
        <v>1.1805555555555569E-2</v>
      </c>
      <c r="I106" s="28">
        <v>0.48819444444444443</v>
      </c>
      <c r="J106" s="28">
        <v>0.5</v>
      </c>
    </row>
    <row r="107" spans="1:10" x14ac:dyDescent="0.2">
      <c r="A107" s="20">
        <v>46101</v>
      </c>
      <c r="B107" s="20" t="s">
        <v>11</v>
      </c>
      <c r="C107" s="25" t="s">
        <v>114</v>
      </c>
      <c r="D107" s="25"/>
      <c r="E107" s="25" t="s">
        <v>62</v>
      </c>
      <c r="F107" s="25" t="s">
        <v>15</v>
      </c>
      <c r="G107" s="26" t="s">
        <v>218</v>
      </c>
      <c r="H107" s="27">
        <f t="shared" si="3"/>
        <v>6.2500000000000888E-3</v>
      </c>
      <c r="I107" s="28">
        <v>0.54166666666666663</v>
      </c>
      <c r="J107" s="28">
        <v>0.54791666666666672</v>
      </c>
    </row>
    <row r="108" spans="1:10" x14ac:dyDescent="0.2">
      <c r="A108" s="20">
        <v>46101</v>
      </c>
      <c r="B108" s="20" t="s">
        <v>11</v>
      </c>
      <c r="C108" s="25" t="s">
        <v>114</v>
      </c>
      <c r="D108" s="25"/>
      <c r="E108" s="25" t="s">
        <v>69</v>
      </c>
      <c r="F108" s="25" t="s">
        <v>15</v>
      </c>
      <c r="G108" s="26" t="s">
        <v>215</v>
      </c>
      <c r="H108" s="27">
        <f t="shared" si="3"/>
        <v>3.5416666666666652E-2</v>
      </c>
      <c r="I108" s="28">
        <v>0.54791666666666672</v>
      </c>
      <c r="J108" s="28">
        <v>0.58333333333333337</v>
      </c>
    </row>
    <row r="109" spans="1:10" ht="25.5" x14ac:dyDescent="0.2">
      <c r="A109" s="20">
        <v>46101</v>
      </c>
      <c r="B109" s="20" t="s">
        <v>11</v>
      </c>
      <c r="C109" s="25" t="s">
        <v>114</v>
      </c>
      <c r="D109" s="25"/>
      <c r="E109" s="25" t="s">
        <v>62</v>
      </c>
      <c r="F109" s="25" t="s">
        <v>15</v>
      </c>
      <c r="G109" s="26" t="s">
        <v>205</v>
      </c>
      <c r="H109" s="27">
        <f t="shared" si="3"/>
        <v>6.9444444444444198E-3</v>
      </c>
      <c r="I109" s="28">
        <v>0.58333333333333337</v>
      </c>
      <c r="J109" s="28">
        <v>0.59027777777777779</v>
      </c>
    </row>
    <row r="110" spans="1:10" x14ac:dyDescent="0.2">
      <c r="A110" s="20">
        <v>46101</v>
      </c>
      <c r="B110" s="20" t="s">
        <v>11</v>
      </c>
      <c r="C110" s="25" t="s">
        <v>114</v>
      </c>
      <c r="D110" s="25"/>
      <c r="E110" s="25" t="s">
        <v>69</v>
      </c>
      <c r="F110" s="25" t="s">
        <v>15</v>
      </c>
      <c r="G110" s="26" t="s">
        <v>219</v>
      </c>
      <c r="H110" s="27">
        <f t="shared" si="3"/>
        <v>2.9861111111111116E-2</v>
      </c>
      <c r="I110" s="28">
        <v>0.59027777777777779</v>
      </c>
      <c r="J110" s="28">
        <v>0.62013888888888891</v>
      </c>
    </row>
    <row r="111" spans="1:10" ht="25.5" x14ac:dyDescent="0.2">
      <c r="A111" s="20">
        <v>46101</v>
      </c>
      <c r="B111" s="20" t="s">
        <v>11</v>
      </c>
      <c r="C111" s="25" t="s">
        <v>114</v>
      </c>
      <c r="D111" s="25"/>
      <c r="E111" s="25" t="s">
        <v>69</v>
      </c>
      <c r="F111" s="25" t="s">
        <v>15</v>
      </c>
      <c r="G111" s="26" t="s">
        <v>220</v>
      </c>
      <c r="H111" s="27">
        <f t="shared" si="3"/>
        <v>1.388888888888884E-3</v>
      </c>
      <c r="I111" s="28">
        <v>0.62013888888888891</v>
      </c>
      <c r="J111" s="28">
        <v>0.62152777777777779</v>
      </c>
    </row>
    <row r="112" spans="1:10" ht="25.5" x14ac:dyDescent="0.2">
      <c r="A112" s="20">
        <v>46101</v>
      </c>
      <c r="B112" s="20" t="s">
        <v>11</v>
      </c>
      <c r="C112" s="25" t="s">
        <v>114</v>
      </c>
      <c r="D112" s="25"/>
      <c r="E112" s="25" t="s">
        <v>69</v>
      </c>
      <c r="F112" s="25" t="s">
        <v>15</v>
      </c>
      <c r="G112" s="26" t="s">
        <v>221</v>
      </c>
      <c r="H112" s="27">
        <f t="shared" si="3"/>
        <v>3.819444444444442E-2</v>
      </c>
      <c r="I112" s="28">
        <v>0.62152777777777779</v>
      </c>
      <c r="J112" s="28">
        <v>0.65972222222222221</v>
      </c>
    </row>
    <row r="113" spans="1:10" ht="25.5" x14ac:dyDescent="0.2">
      <c r="A113" s="20">
        <v>46101</v>
      </c>
      <c r="B113" s="20" t="s">
        <v>11</v>
      </c>
      <c r="C113" s="25" t="s">
        <v>114</v>
      </c>
      <c r="D113" s="25"/>
      <c r="E113" s="25" t="s">
        <v>62</v>
      </c>
      <c r="F113" s="25" t="s">
        <v>15</v>
      </c>
      <c r="G113" s="26" t="s">
        <v>204</v>
      </c>
      <c r="H113" s="27">
        <f t="shared" ref="H113:H176" si="4">J113-I113</f>
        <v>4.861111111111116E-2</v>
      </c>
      <c r="I113" s="28">
        <v>0.65972222222222221</v>
      </c>
      <c r="J113" s="28">
        <v>0.70833333333333337</v>
      </c>
    </row>
    <row r="114" spans="1:10" x14ac:dyDescent="0.2">
      <c r="A114" s="29">
        <v>46102</v>
      </c>
      <c r="B114" s="20" t="s">
        <v>14</v>
      </c>
      <c r="C114" s="45" t="s">
        <v>114</v>
      </c>
      <c r="D114" s="45"/>
      <c r="E114" s="45" t="s">
        <v>88</v>
      </c>
      <c r="F114" s="45" t="s">
        <v>15</v>
      </c>
      <c r="G114" s="46" t="s">
        <v>93</v>
      </c>
      <c r="H114" s="47">
        <f t="shared" si="4"/>
        <v>0.33333333333333331</v>
      </c>
      <c r="I114" s="48">
        <v>0.33333333333333331</v>
      </c>
      <c r="J114" s="48">
        <v>0.66666666666666663</v>
      </c>
    </row>
    <row r="115" spans="1:10" x14ac:dyDescent="0.2">
      <c r="A115" s="29">
        <v>46103</v>
      </c>
      <c r="B115" s="20" t="s">
        <v>16</v>
      </c>
      <c r="C115" s="30"/>
      <c r="D115" s="30"/>
      <c r="E115" s="30"/>
      <c r="F115" s="30"/>
      <c r="G115" s="31"/>
      <c r="H115" s="32">
        <f t="shared" si="4"/>
        <v>0</v>
      </c>
      <c r="I115" s="33"/>
      <c r="J115" s="33"/>
    </row>
    <row r="116" spans="1:10" x14ac:dyDescent="0.2">
      <c r="A116" s="20">
        <v>46104</v>
      </c>
      <c r="B116" s="20" t="s">
        <v>17</v>
      </c>
      <c r="C116" s="25" t="s">
        <v>114</v>
      </c>
      <c r="D116" s="25"/>
      <c r="E116" s="25" t="s">
        <v>62</v>
      </c>
      <c r="F116" s="25" t="s">
        <v>15</v>
      </c>
      <c r="G116" s="26" t="s">
        <v>201</v>
      </c>
      <c r="H116" s="27">
        <f t="shared" si="4"/>
        <v>3.1944444444444442E-2</v>
      </c>
      <c r="I116" s="28">
        <v>0.33333333333333331</v>
      </c>
      <c r="J116" s="28">
        <v>0.36527777777777776</v>
      </c>
    </row>
    <row r="117" spans="1:10" x14ac:dyDescent="0.2">
      <c r="A117" s="20">
        <v>46104</v>
      </c>
      <c r="B117" s="20" t="s">
        <v>17</v>
      </c>
      <c r="C117" s="25" t="s">
        <v>114</v>
      </c>
      <c r="D117" s="25"/>
      <c r="E117" s="25" t="s">
        <v>69</v>
      </c>
      <c r="F117" s="25" t="s">
        <v>15</v>
      </c>
      <c r="G117" s="26" t="s">
        <v>222</v>
      </c>
      <c r="H117" s="27">
        <f t="shared" si="4"/>
        <v>9.3055555555555558E-2</v>
      </c>
      <c r="I117" s="28">
        <v>0.36527777777777776</v>
      </c>
      <c r="J117" s="28">
        <v>0.45833333333333331</v>
      </c>
    </row>
    <row r="118" spans="1:10" x14ac:dyDescent="0.2">
      <c r="A118" s="20">
        <v>46104</v>
      </c>
      <c r="B118" s="20" t="s">
        <v>17</v>
      </c>
      <c r="C118" s="25" t="s">
        <v>114</v>
      </c>
      <c r="D118" s="25"/>
      <c r="E118" s="25" t="s">
        <v>62</v>
      </c>
      <c r="F118" s="25" t="s">
        <v>15</v>
      </c>
      <c r="G118" s="26" t="s">
        <v>208</v>
      </c>
      <c r="H118" s="27">
        <f t="shared" si="4"/>
        <v>3.125E-2</v>
      </c>
      <c r="I118" s="28">
        <v>0.45833333333333331</v>
      </c>
      <c r="J118" s="28">
        <v>0.48958333333333331</v>
      </c>
    </row>
    <row r="119" spans="1:10" x14ac:dyDescent="0.2">
      <c r="A119" s="20">
        <v>46104</v>
      </c>
      <c r="B119" s="20" t="s">
        <v>17</v>
      </c>
      <c r="C119" s="25" t="s">
        <v>114</v>
      </c>
      <c r="D119" s="25"/>
      <c r="E119" s="25" t="s">
        <v>69</v>
      </c>
      <c r="F119" s="25" t="s">
        <v>15</v>
      </c>
      <c r="G119" s="26" t="s">
        <v>222</v>
      </c>
      <c r="H119" s="27">
        <f t="shared" si="4"/>
        <v>4.1666666666666685E-2</v>
      </c>
      <c r="I119" s="28">
        <v>0.48958333333333331</v>
      </c>
      <c r="J119" s="28">
        <v>0.53125</v>
      </c>
    </row>
    <row r="120" spans="1:10" x14ac:dyDescent="0.2">
      <c r="A120" s="20">
        <v>46104</v>
      </c>
      <c r="B120" s="20" t="s">
        <v>17</v>
      </c>
      <c r="C120" s="25" t="s">
        <v>114</v>
      </c>
      <c r="D120" s="25"/>
      <c r="E120" s="25" t="s">
        <v>69</v>
      </c>
      <c r="F120" s="25" t="s">
        <v>15</v>
      </c>
      <c r="G120" s="26" t="s">
        <v>222</v>
      </c>
      <c r="H120" s="27">
        <f t="shared" si="4"/>
        <v>1.0416666666666741E-2</v>
      </c>
      <c r="I120" s="28">
        <v>0.57291666666666663</v>
      </c>
      <c r="J120" s="28">
        <v>0.58333333333333337</v>
      </c>
    </row>
    <row r="121" spans="1:10" ht="25.5" x14ac:dyDescent="0.2">
      <c r="A121" s="20">
        <v>46104</v>
      </c>
      <c r="B121" s="20" t="s">
        <v>17</v>
      </c>
      <c r="C121" s="25" t="s">
        <v>114</v>
      </c>
      <c r="D121" s="25"/>
      <c r="E121" s="25" t="s">
        <v>62</v>
      </c>
      <c r="F121" s="25" t="s">
        <v>15</v>
      </c>
      <c r="G121" s="26" t="s">
        <v>205</v>
      </c>
      <c r="H121" s="27">
        <f t="shared" si="4"/>
        <v>2.2916666666666585E-2</v>
      </c>
      <c r="I121" s="28">
        <v>0.58333333333333337</v>
      </c>
      <c r="J121" s="28">
        <v>0.60624999999999996</v>
      </c>
    </row>
    <row r="122" spans="1:10" x14ac:dyDescent="0.2">
      <c r="A122" s="20">
        <v>46104</v>
      </c>
      <c r="B122" s="20" t="s">
        <v>17</v>
      </c>
      <c r="C122" s="25" t="s">
        <v>114</v>
      </c>
      <c r="D122" s="25"/>
      <c r="E122" s="25" t="s">
        <v>62</v>
      </c>
      <c r="F122" s="25" t="s">
        <v>15</v>
      </c>
      <c r="G122" s="26" t="s">
        <v>223</v>
      </c>
      <c r="H122" s="27">
        <f t="shared" si="4"/>
        <v>2.0138888888888928E-2</v>
      </c>
      <c r="I122" s="28">
        <v>0.60624999999999996</v>
      </c>
      <c r="J122" s="28">
        <v>0.62638888888888888</v>
      </c>
    </row>
    <row r="123" spans="1:10" x14ac:dyDescent="0.2">
      <c r="A123" s="20">
        <v>46104</v>
      </c>
      <c r="B123" s="20" t="s">
        <v>17</v>
      </c>
      <c r="C123" s="25" t="s">
        <v>114</v>
      </c>
      <c r="D123" s="25"/>
      <c r="E123" s="25" t="s">
        <v>69</v>
      </c>
      <c r="F123" s="25" t="s">
        <v>15</v>
      </c>
      <c r="G123" s="26" t="s">
        <v>224</v>
      </c>
      <c r="H123" s="27">
        <f t="shared" si="4"/>
        <v>4.0277777777777746E-2</v>
      </c>
      <c r="I123" s="28">
        <v>0.62638888888888888</v>
      </c>
      <c r="J123" s="28">
        <v>0.66666666666666663</v>
      </c>
    </row>
    <row r="124" spans="1:10" ht="25.5" x14ac:dyDescent="0.2">
      <c r="A124" s="20">
        <v>46104</v>
      </c>
      <c r="B124" s="20" t="s">
        <v>17</v>
      </c>
      <c r="C124" s="25" t="s">
        <v>114</v>
      </c>
      <c r="D124" s="25"/>
      <c r="E124" s="25" t="s">
        <v>62</v>
      </c>
      <c r="F124" s="25" t="s">
        <v>15</v>
      </c>
      <c r="G124" s="26" t="s">
        <v>204</v>
      </c>
      <c r="H124" s="27">
        <f t="shared" si="4"/>
        <v>2.2222222222222254E-2</v>
      </c>
      <c r="I124" s="28">
        <v>0.66666666666666663</v>
      </c>
      <c r="J124" s="28">
        <v>0.68888888888888888</v>
      </c>
    </row>
    <row r="125" spans="1:10" x14ac:dyDescent="0.2">
      <c r="A125" s="20">
        <v>46104</v>
      </c>
      <c r="B125" s="20" t="s">
        <v>17</v>
      </c>
      <c r="C125" s="25" t="s">
        <v>114</v>
      </c>
      <c r="D125" s="25"/>
      <c r="E125" s="25" t="s">
        <v>69</v>
      </c>
      <c r="F125" s="25" t="s">
        <v>15</v>
      </c>
      <c r="G125" s="26" t="s">
        <v>224</v>
      </c>
      <c r="H125" s="27">
        <f t="shared" si="4"/>
        <v>2.9861111111111116E-2</v>
      </c>
      <c r="I125" s="28">
        <v>0.68888888888888888</v>
      </c>
      <c r="J125" s="28">
        <v>0.71875</v>
      </c>
    </row>
    <row r="126" spans="1:10" x14ac:dyDescent="0.2">
      <c r="A126" s="20">
        <v>46105</v>
      </c>
      <c r="B126" s="20" t="s">
        <v>18</v>
      </c>
      <c r="C126" s="25" t="s">
        <v>114</v>
      </c>
      <c r="D126" s="25"/>
      <c r="E126" s="25" t="s">
        <v>62</v>
      </c>
      <c r="F126" s="25" t="s">
        <v>15</v>
      </c>
      <c r="G126" s="26" t="s">
        <v>201</v>
      </c>
      <c r="H126" s="27">
        <f t="shared" si="4"/>
        <v>6.4583333333333326E-2</v>
      </c>
      <c r="I126" s="28">
        <v>0.33333333333333331</v>
      </c>
      <c r="J126" s="28">
        <v>0.39791666666666664</v>
      </c>
    </row>
    <row r="127" spans="1:10" x14ac:dyDescent="0.2">
      <c r="A127" s="20">
        <v>46105</v>
      </c>
      <c r="B127" s="20" t="s">
        <v>18</v>
      </c>
      <c r="C127" s="25" t="s">
        <v>114</v>
      </c>
      <c r="D127" s="25"/>
      <c r="E127" s="25" t="s">
        <v>69</v>
      </c>
      <c r="F127" s="25" t="s">
        <v>15</v>
      </c>
      <c r="G127" s="26" t="s">
        <v>224</v>
      </c>
      <c r="H127" s="27">
        <f t="shared" si="4"/>
        <v>6.0416666666666674E-2</v>
      </c>
      <c r="I127" s="28">
        <v>0.39791666666666664</v>
      </c>
      <c r="J127" s="28">
        <v>0.45833333333333331</v>
      </c>
    </row>
    <row r="128" spans="1:10" x14ac:dyDescent="0.2">
      <c r="A128" s="20">
        <v>46105</v>
      </c>
      <c r="B128" s="20" t="s">
        <v>18</v>
      </c>
      <c r="C128" s="25" t="s">
        <v>114</v>
      </c>
      <c r="D128" s="25"/>
      <c r="E128" s="25" t="s">
        <v>62</v>
      </c>
      <c r="F128" s="25" t="s">
        <v>15</v>
      </c>
      <c r="G128" s="26" t="s">
        <v>208</v>
      </c>
      <c r="H128" s="27">
        <f t="shared" si="4"/>
        <v>5.3472222222222199E-2</v>
      </c>
      <c r="I128" s="28">
        <v>0.45833333333333331</v>
      </c>
      <c r="J128" s="28">
        <v>0.51180555555555551</v>
      </c>
    </row>
    <row r="129" spans="1:10" x14ac:dyDescent="0.2">
      <c r="A129" s="20">
        <v>46105</v>
      </c>
      <c r="B129" s="20" t="s">
        <v>18</v>
      </c>
      <c r="C129" s="25" t="s">
        <v>114</v>
      </c>
      <c r="D129" s="25"/>
      <c r="E129" s="25" t="s">
        <v>69</v>
      </c>
      <c r="F129" s="25" t="s">
        <v>15</v>
      </c>
      <c r="G129" s="26" t="s">
        <v>224</v>
      </c>
      <c r="H129" s="27">
        <f t="shared" si="4"/>
        <v>1.8055555555555602E-2</v>
      </c>
      <c r="I129" s="28">
        <v>0.51180555555555551</v>
      </c>
      <c r="J129" s="28">
        <v>0.52986111111111112</v>
      </c>
    </row>
    <row r="130" spans="1:10" x14ac:dyDescent="0.2">
      <c r="A130" s="20">
        <v>46105</v>
      </c>
      <c r="B130" s="20" t="s">
        <v>18</v>
      </c>
      <c r="C130" s="25" t="s">
        <v>114</v>
      </c>
      <c r="D130" s="25"/>
      <c r="E130" s="25" t="s">
        <v>69</v>
      </c>
      <c r="F130" s="25" t="s">
        <v>15</v>
      </c>
      <c r="G130" s="26" t="s">
        <v>224</v>
      </c>
      <c r="H130" s="27">
        <f t="shared" si="4"/>
        <v>1.1805555555555625E-2</v>
      </c>
      <c r="I130" s="28">
        <v>0.57152777777777775</v>
      </c>
      <c r="J130" s="28">
        <v>0.58333333333333337</v>
      </c>
    </row>
    <row r="131" spans="1:10" ht="25.5" x14ac:dyDescent="0.2">
      <c r="A131" s="20">
        <v>46105</v>
      </c>
      <c r="B131" s="20" t="s">
        <v>18</v>
      </c>
      <c r="C131" s="25" t="s">
        <v>114</v>
      </c>
      <c r="D131" s="25"/>
      <c r="E131" s="25" t="s">
        <v>62</v>
      </c>
      <c r="F131" s="25" t="s">
        <v>15</v>
      </c>
      <c r="G131" s="26" t="s">
        <v>205</v>
      </c>
      <c r="H131" s="27">
        <f t="shared" si="4"/>
        <v>6.25E-2</v>
      </c>
      <c r="I131" s="28">
        <v>0.58333333333333337</v>
      </c>
      <c r="J131" s="28">
        <v>0.64583333333333337</v>
      </c>
    </row>
    <row r="132" spans="1:10" x14ac:dyDescent="0.2">
      <c r="A132" s="20">
        <v>46105</v>
      </c>
      <c r="B132" s="20" t="s">
        <v>18</v>
      </c>
      <c r="C132" s="25" t="s">
        <v>114</v>
      </c>
      <c r="D132" s="25"/>
      <c r="E132" s="25" t="s">
        <v>69</v>
      </c>
      <c r="F132" s="25" t="s">
        <v>15</v>
      </c>
      <c r="G132" s="26" t="s">
        <v>224</v>
      </c>
      <c r="H132" s="27">
        <f t="shared" si="4"/>
        <v>2.0833333333333259E-2</v>
      </c>
      <c r="I132" s="28">
        <v>0.64583333333333337</v>
      </c>
      <c r="J132" s="28">
        <v>0.66666666666666663</v>
      </c>
    </row>
    <row r="133" spans="1:10" ht="25.5" x14ac:dyDescent="0.2">
      <c r="A133" s="20">
        <v>46105</v>
      </c>
      <c r="B133" s="20" t="s">
        <v>18</v>
      </c>
      <c r="C133" s="25" t="s">
        <v>114</v>
      </c>
      <c r="D133" s="25"/>
      <c r="E133" s="25" t="s">
        <v>62</v>
      </c>
      <c r="F133" s="25" t="s">
        <v>15</v>
      </c>
      <c r="G133" s="26" t="s">
        <v>204</v>
      </c>
      <c r="H133" s="27">
        <f t="shared" si="4"/>
        <v>1.8750000000000044E-2</v>
      </c>
      <c r="I133" s="28">
        <v>0.66666666666666663</v>
      </c>
      <c r="J133" s="28">
        <v>0.68541666666666667</v>
      </c>
    </row>
    <row r="134" spans="1:10" x14ac:dyDescent="0.2">
      <c r="A134" s="20">
        <v>46105</v>
      </c>
      <c r="B134" s="20" t="s">
        <v>18</v>
      </c>
      <c r="C134" s="25" t="s">
        <v>114</v>
      </c>
      <c r="D134" s="25"/>
      <c r="E134" s="25" t="s">
        <v>69</v>
      </c>
      <c r="F134" s="25" t="s">
        <v>15</v>
      </c>
      <c r="G134" s="26" t="s">
        <v>224</v>
      </c>
      <c r="H134" s="27">
        <f t="shared" si="4"/>
        <v>3.6111111111111094E-2</v>
      </c>
      <c r="I134" s="28">
        <v>0.68541666666666667</v>
      </c>
      <c r="J134" s="28">
        <v>0.72152777777777777</v>
      </c>
    </row>
    <row r="135" spans="1:10" x14ac:dyDescent="0.2">
      <c r="A135" s="20">
        <v>46106</v>
      </c>
      <c r="B135" s="20" t="s">
        <v>19</v>
      </c>
      <c r="C135" s="25" t="s">
        <v>114</v>
      </c>
      <c r="D135" s="25"/>
      <c r="E135" s="25" t="s">
        <v>62</v>
      </c>
      <c r="F135" s="25" t="s">
        <v>15</v>
      </c>
      <c r="G135" s="26" t="s">
        <v>201</v>
      </c>
      <c r="H135" s="27">
        <f>J135-I135</f>
        <v>6.2500000000000333E-3</v>
      </c>
      <c r="I135" s="28">
        <v>0.33333333333333331</v>
      </c>
      <c r="J135" s="28">
        <v>0.33958333333333335</v>
      </c>
    </row>
    <row r="136" spans="1:10" x14ac:dyDescent="0.2">
      <c r="A136" s="20">
        <v>46106</v>
      </c>
      <c r="B136" s="20" t="s">
        <v>19</v>
      </c>
      <c r="C136" s="25" t="s">
        <v>114</v>
      </c>
      <c r="D136" s="25"/>
      <c r="E136" s="25" t="s">
        <v>69</v>
      </c>
      <c r="F136" s="25" t="s">
        <v>15</v>
      </c>
      <c r="G136" s="26" t="s">
        <v>224</v>
      </c>
      <c r="H136" s="27">
        <f t="shared" ref="H136:H144" si="5">J136-I136</f>
        <v>0.11874999999999997</v>
      </c>
      <c r="I136" s="28">
        <v>0.33958333333333335</v>
      </c>
      <c r="J136" s="28">
        <v>0.45833333333333331</v>
      </c>
    </row>
    <row r="137" spans="1:10" x14ac:dyDescent="0.2">
      <c r="A137" s="20">
        <v>46106</v>
      </c>
      <c r="B137" s="20" t="s">
        <v>19</v>
      </c>
      <c r="C137" s="25" t="s">
        <v>114</v>
      </c>
      <c r="D137" s="25"/>
      <c r="E137" s="25" t="s">
        <v>62</v>
      </c>
      <c r="F137" s="25" t="s">
        <v>15</v>
      </c>
      <c r="G137" s="26" t="s">
        <v>208</v>
      </c>
      <c r="H137" s="27">
        <f t="shared" si="5"/>
        <v>3.4722222222222265E-2</v>
      </c>
      <c r="I137" s="28">
        <v>0.45833333333333331</v>
      </c>
      <c r="J137" s="28">
        <v>0.49305555555555558</v>
      </c>
    </row>
    <row r="138" spans="1:10" x14ac:dyDescent="0.2">
      <c r="A138" s="20">
        <v>46106</v>
      </c>
      <c r="B138" s="20" t="s">
        <v>19</v>
      </c>
      <c r="C138" s="25" t="s">
        <v>114</v>
      </c>
      <c r="D138" s="25"/>
      <c r="E138" s="25" t="s">
        <v>69</v>
      </c>
      <c r="F138" s="25" t="s">
        <v>15</v>
      </c>
      <c r="G138" s="26" t="s">
        <v>224</v>
      </c>
      <c r="H138" s="27">
        <f t="shared" si="5"/>
        <v>3.7499999999999978E-2</v>
      </c>
      <c r="I138" s="28">
        <v>0.49305555555555558</v>
      </c>
      <c r="J138" s="28">
        <v>0.53055555555555556</v>
      </c>
    </row>
    <row r="139" spans="1:10" x14ac:dyDescent="0.2">
      <c r="A139" s="20">
        <v>46106</v>
      </c>
      <c r="B139" s="20" t="s">
        <v>19</v>
      </c>
      <c r="C139" s="25" t="s">
        <v>114</v>
      </c>
      <c r="D139" s="25"/>
      <c r="E139" s="25" t="s">
        <v>69</v>
      </c>
      <c r="F139" s="25" t="s">
        <v>15</v>
      </c>
      <c r="G139" s="26" t="s">
        <v>224</v>
      </c>
      <c r="H139" s="27">
        <f t="shared" si="5"/>
        <v>3.472222222222221E-2</v>
      </c>
      <c r="I139" s="28">
        <v>0.56944444444444442</v>
      </c>
      <c r="J139" s="28">
        <v>0.60416666666666663</v>
      </c>
    </row>
    <row r="140" spans="1:10" ht="25.5" x14ac:dyDescent="0.2">
      <c r="A140" s="20">
        <v>46106</v>
      </c>
      <c r="B140" s="20" t="s">
        <v>19</v>
      </c>
      <c r="C140" s="25" t="s">
        <v>114</v>
      </c>
      <c r="D140" s="25"/>
      <c r="E140" s="25" t="s">
        <v>62</v>
      </c>
      <c r="F140" s="25" t="s">
        <v>15</v>
      </c>
      <c r="G140" s="26" t="s">
        <v>205</v>
      </c>
      <c r="H140" s="27">
        <f t="shared" si="5"/>
        <v>2.083333333333337E-2</v>
      </c>
      <c r="I140" s="28">
        <v>0.60416666666666663</v>
      </c>
      <c r="J140" s="28">
        <v>0.625</v>
      </c>
    </row>
    <row r="141" spans="1:10" x14ac:dyDescent="0.2">
      <c r="A141" s="20">
        <v>46106</v>
      </c>
      <c r="B141" s="20" t="s">
        <v>19</v>
      </c>
      <c r="C141" s="25" t="s">
        <v>114</v>
      </c>
      <c r="D141" s="25"/>
      <c r="E141" s="25" t="s">
        <v>69</v>
      </c>
      <c r="F141" s="25" t="s">
        <v>15</v>
      </c>
      <c r="G141" s="26" t="s">
        <v>217</v>
      </c>
      <c r="H141" s="27">
        <f t="shared" si="5"/>
        <v>2.083333333333337E-2</v>
      </c>
      <c r="I141" s="28">
        <v>0.625</v>
      </c>
      <c r="J141" s="28">
        <v>0.64583333333333337</v>
      </c>
    </row>
    <row r="142" spans="1:10" x14ac:dyDescent="0.2">
      <c r="A142" s="20">
        <v>46106</v>
      </c>
      <c r="B142" s="20" t="s">
        <v>19</v>
      </c>
      <c r="C142" s="25" t="s">
        <v>114</v>
      </c>
      <c r="D142" s="25"/>
      <c r="E142" s="25" t="s">
        <v>66</v>
      </c>
      <c r="F142" s="25" t="s">
        <v>15</v>
      </c>
      <c r="G142" s="26" t="s">
        <v>225</v>
      </c>
      <c r="H142" s="27">
        <f t="shared" si="5"/>
        <v>5.2083333333333259E-2</v>
      </c>
      <c r="I142" s="28">
        <v>0.64583333333333337</v>
      </c>
      <c r="J142" s="28">
        <v>0.69791666666666663</v>
      </c>
    </row>
    <row r="143" spans="1:10" ht="25.5" x14ac:dyDescent="0.2">
      <c r="A143" s="20">
        <v>46106</v>
      </c>
      <c r="B143" s="20" t="s">
        <v>19</v>
      </c>
      <c r="C143" s="25" t="s">
        <v>114</v>
      </c>
      <c r="D143" s="25"/>
      <c r="E143" s="25" t="s">
        <v>62</v>
      </c>
      <c r="F143" s="25" t="s">
        <v>15</v>
      </c>
      <c r="G143" s="26" t="s">
        <v>204</v>
      </c>
      <c r="H143" s="27">
        <f t="shared" si="5"/>
        <v>1.5277777777777835E-2</v>
      </c>
      <c r="I143" s="28">
        <v>0.69791666666666663</v>
      </c>
      <c r="J143" s="28">
        <v>0.71319444444444446</v>
      </c>
    </row>
    <row r="144" spans="1:10" x14ac:dyDescent="0.2">
      <c r="A144" s="20">
        <v>46106</v>
      </c>
      <c r="B144" s="20" t="s">
        <v>19</v>
      </c>
      <c r="C144" s="25" t="s">
        <v>114</v>
      </c>
      <c r="D144" s="25"/>
      <c r="E144" s="25" t="s">
        <v>69</v>
      </c>
      <c r="F144" s="25" t="s">
        <v>15</v>
      </c>
      <c r="G144" s="26" t="s">
        <v>224</v>
      </c>
      <c r="H144" s="27">
        <f t="shared" si="5"/>
        <v>7.5694444444444398E-2</v>
      </c>
      <c r="I144" s="28">
        <v>0.71319444444444446</v>
      </c>
      <c r="J144" s="28">
        <v>0.78888888888888886</v>
      </c>
    </row>
    <row r="145" spans="1:10" x14ac:dyDescent="0.2">
      <c r="A145" s="20">
        <v>46107</v>
      </c>
      <c r="B145" s="20" t="s">
        <v>20</v>
      </c>
      <c r="C145" s="25" t="s">
        <v>114</v>
      </c>
      <c r="D145" s="25"/>
      <c r="E145" s="25" t="s">
        <v>62</v>
      </c>
      <c r="F145" s="25" t="s">
        <v>15</v>
      </c>
      <c r="G145" s="26" t="s">
        <v>201</v>
      </c>
      <c r="H145" s="27">
        <f t="shared" si="4"/>
        <v>2.2916666666666696E-2</v>
      </c>
      <c r="I145" s="28">
        <v>0.33333333333333331</v>
      </c>
      <c r="J145" s="28">
        <v>0.35625000000000001</v>
      </c>
    </row>
    <row r="146" spans="1:10" x14ac:dyDescent="0.2">
      <c r="A146" s="20">
        <v>46107</v>
      </c>
      <c r="B146" s="20" t="s">
        <v>20</v>
      </c>
      <c r="C146" s="25" t="s">
        <v>114</v>
      </c>
      <c r="D146" s="25"/>
      <c r="E146" s="25" t="s">
        <v>62</v>
      </c>
      <c r="F146" s="25" t="s">
        <v>15</v>
      </c>
      <c r="G146" s="26" t="s">
        <v>226</v>
      </c>
      <c r="H146" s="27">
        <f t="shared" si="4"/>
        <v>4.3055555555555569E-2</v>
      </c>
      <c r="I146" s="28">
        <v>0.35625000000000001</v>
      </c>
      <c r="J146" s="28">
        <v>0.39930555555555558</v>
      </c>
    </row>
    <row r="147" spans="1:10" x14ac:dyDescent="0.2">
      <c r="A147" s="20">
        <v>46107</v>
      </c>
      <c r="B147" s="20" t="s">
        <v>20</v>
      </c>
      <c r="C147" s="25" t="s">
        <v>114</v>
      </c>
      <c r="D147" s="25"/>
      <c r="E147" s="25" t="s">
        <v>69</v>
      </c>
      <c r="F147" s="25" t="s">
        <v>15</v>
      </c>
      <c r="G147" s="26" t="s">
        <v>224</v>
      </c>
      <c r="H147" s="27">
        <f t="shared" si="4"/>
        <v>5.9027777777777735E-2</v>
      </c>
      <c r="I147" s="28">
        <v>0.39930555555555558</v>
      </c>
      <c r="J147" s="28">
        <v>0.45833333333333331</v>
      </c>
    </row>
    <row r="148" spans="1:10" x14ac:dyDescent="0.2">
      <c r="A148" s="20">
        <v>46107</v>
      </c>
      <c r="B148" s="20" t="s">
        <v>20</v>
      </c>
      <c r="C148" s="25" t="s">
        <v>114</v>
      </c>
      <c r="D148" s="25"/>
      <c r="E148" s="25" t="s">
        <v>62</v>
      </c>
      <c r="F148" s="25" t="s">
        <v>15</v>
      </c>
      <c r="G148" s="26" t="s">
        <v>208</v>
      </c>
      <c r="H148" s="27">
        <f t="shared" si="4"/>
        <v>3.4027777777777823E-2</v>
      </c>
      <c r="I148" s="28">
        <v>0.45833333333333331</v>
      </c>
      <c r="J148" s="28">
        <v>0.49236111111111114</v>
      </c>
    </row>
    <row r="149" spans="1:10" x14ac:dyDescent="0.2">
      <c r="A149" s="20">
        <v>46107</v>
      </c>
      <c r="B149" s="20" t="s">
        <v>20</v>
      </c>
      <c r="C149" s="25" t="s">
        <v>114</v>
      </c>
      <c r="D149" s="25"/>
      <c r="E149" s="25" t="s">
        <v>69</v>
      </c>
      <c r="F149" s="25" t="s">
        <v>15</v>
      </c>
      <c r="G149" s="26" t="s">
        <v>228</v>
      </c>
      <c r="H149" s="27">
        <f t="shared" si="4"/>
        <v>3.1944444444444442E-2</v>
      </c>
      <c r="I149" s="28">
        <v>0.49236111111111114</v>
      </c>
      <c r="J149" s="28">
        <v>0.52430555555555558</v>
      </c>
    </row>
    <row r="150" spans="1:10" x14ac:dyDescent="0.2">
      <c r="A150" s="20">
        <v>46107</v>
      </c>
      <c r="B150" s="20" t="s">
        <v>20</v>
      </c>
      <c r="C150" s="25" t="s">
        <v>114</v>
      </c>
      <c r="D150" s="25"/>
      <c r="E150" s="25" t="s">
        <v>69</v>
      </c>
      <c r="F150" s="25" t="s">
        <v>15</v>
      </c>
      <c r="G150" s="26" t="s">
        <v>228</v>
      </c>
      <c r="H150" s="27">
        <f t="shared" si="4"/>
        <v>1.736111111111116E-2</v>
      </c>
      <c r="I150" s="28">
        <v>0.56597222222222221</v>
      </c>
      <c r="J150" s="28">
        <v>0.58333333333333337</v>
      </c>
    </row>
    <row r="151" spans="1:10" ht="25.5" x14ac:dyDescent="0.2">
      <c r="A151" s="20">
        <v>46107</v>
      </c>
      <c r="B151" s="20" t="s">
        <v>20</v>
      </c>
      <c r="C151" s="25" t="s">
        <v>114</v>
      </c>
      <c r="D151" s="25"/>
      <c r="E151" s="25" t="s">
        <v>62</v>
      </c>
      <c r="F151" s="25" t="s">
        <v>15</v>
      </c>
      <c r="G151" s="26" t="s">
        <v>205</v>
      </c>
      <c r="H151" s="27">
        <f t="shared" si="4"/>
        <v>6.944444444444442E-2</v>
      </c>
      <c r="I151" s="28">
        <v>0.58333333333333337</v>
      </c>
      <c r="J151" s="28">
        <v>0.65277777777777779</v>
      </c>
    </row>
    <row r="152" spans="1:10" x14ac:dyDescent="0.2">
      <c r="A152" s="20">
        <v>46107</v>
      </c>
      <c r="B152" s="20" t="s">
        <v>20</v>
      </c>
      <c r="C152" s="25" t="s">
        <v>114</v>
      </c>
      <c r="D152" s="25"/>
      <c r="E152" s="25" t="s">
        <v>69</v>
      </c>
      <c r="F152" s="25" t="s">
        <v>15</v>
      </c>
      <c r="G152" s="26" t="s">
        <v>217</v>
      </c>
      <c r="H152" s="27">
        <f t="shared" si="4"/>
        <v>1.388888888888884E-2</v>
      </c>
      <c r="I152" s="28">
        <v>0.65277777777777779</v>
      </c>
      <c r="J152" s="28">
        <v>0.66666666666666663</v>
      </c>
    </row>
    <row r="153" spans="1:10" ht="25.5" x14ac:dyDescent="0.2">
      <c r="A153" s="20">
        <v>46107</v>
      </c>
      <c r="B153" s="20" t="s">
        <v>20</v>
      </c>
      <c r="C153" s="25" t="s">
        <v>114</v>
      </c>
      <c r="D153" s="25"/>
      <c r="E153" s="25" t="s">
        <v>62</v>
      </c>
      <c r="F153" s="25" t="s">
        <v>15</v>
      </c>
      <c r="G153" s="26" t="s">
        <v>204</v>
      </c>
      <c r="H153" s="27">
        <f t="shared" si="4"/>
        <v>5.0000000000000044E-2</v>
      </c>
      <c r="I153" s="28">
        <v>0.66666666666666663</v>
      </c>
      <c r="J153" s="28">
        <v>0.71666666666666667</v>
      </c>
    </row>
    <row r="154" spans="1:10" x14ac:dyDescent="0.2">
      <c r="A154" s="20">
        <v>46108</v>
      </c>
      <c r="B154" s="20" t="s">
        <v>11</v>
      </c>
      <c r="C154" s="25" t="s">
        <v>114</v>
      </c>
      <c r="D154" s="25"/>
      <c r="E154" s="25" t="s">
        <v>62</v>
      </c>
      <c r="F154" s="25" t="s">
        <v>15</v>
      </c>
      <c r="G154" s="26" t="s">
        <v>201</v>
      </c>
      <c r="H154" s="27">
        <f t="shared" si="4"/>
        <v>1.5972222222222221E-2</v>
      </c>
      <c r="I154" s="28">
        <v>0.33333333333333331</v>
      </c>
      <c r="J154" s="28">
        <v>0.34930555555555554</v>
      </c>
    </row>
    <row r="155" spans="1:10" x14ac:dyDescent="0.2">
      <c r="A155" s="20">
        <v>46108</v>
      </c>
      <c r="B155" s="20" t="s">
        <v>11</v>
      </c>
      <c r="C155" s="25" t="s">
        <v>114</v>
      </c>
      <c r="D155" s="25"/>
      <c r="E155" s="25" t="s">
        <v>69</v>
      </c>
      <c r="F155" s="25" t="s">
        <v>15</v>
      </c>
      <c r="G155" s="26" t="s">
        <v>217</v>
      </c>
      <c r="H155" s="27">
        <f t="shared" si="4"/>
        <v>1.5277777777777779E-2</v>
      </c>
      <c r="I155" s="28">
        <v>0.34930555555555554</v>
      </c>
      <c r="J155" s="28">
        <v>0.36458333333333331</v>
      </c>
    </row>
    <row r="156" spans="1:10" ht="25.5" x14ac:dyDescent="0.2">
      <c r="A156" s="20">
        <v>46108</v>
      </c>
      <c r="B156" s="20" t="s">
        <v>11</v>
      </c>
      <c r="C156" s="25" t="s">
        <v>114</v>
      </c>
      <c r="D156" s="25"/>
      <c r="E156" s="25" t="s">
        <v>62</v>
      </c>
      <c r="F156" s="25" t="s">
        <v>15</v>
      </c>
      <c r="G156" s="26" t="s">
        <v>205</v>
      </c>
      <c r="H156" s="27">
        <f t="shared" si="4"/>
        <v>4.1666666666666685E-2</v>
      </c>
      <c r="I156" s="28">
        <v>0.36458333333333331</v>
      </c>
      <c r="J156" s="28">
        <v>0.40625</v>
      </c>
    </row>
    <row r="157" spans="1:10" ht="25.5" x14ac:dyDescent="0.2">
      <c r="A157" s="20">
        <v>46108</v>
      </c>
      <c r="B157" s="20" t="s">
        <v>11</v>
      </c>
      <c r="C157" s="25" t="s">
        <v>114</v>
      </c>
      <c r="D157" s="25"/>
      <c r="E157" s="25" t="s">
        <v>66</v>
      </c>
      <c r="F157" s="25" t="s">
        <v>15</v>
      </c>
      <c r="G157" s="26" t="s">
        <v>227</v>
      </c>
      <c r="H157" s="27">
        <f t="shared" si="4"/>
        <v>2.9166666666666674E-2</v>
      </c>
      <c r="I157" s="28">
        <v>0.40625</v>
      </c>
      <c r="J157" s="28">
        <v>0.43541666666666667</v>
      </c>
    </row>
    <row r="158" spans="1:10" x14ac:dyDescent="0.2">
      <c r="A158" s="20">
        <v>46108</v>
      </c>
      <c r="B158" s="20" t="s">
        <v>11</v>
      </c>
      <c r="C158" s="25" t="s">
        <v>114</v>
      </c>
      <c r="D158" s="25"/>
      <c r="E158" s="25" t="s">
        <v>69</v>
      </c>
      <c r="F158" s="25" t="s">
        <v>15</v>
      </c>
      <c r="G158" s="26" t="s">
        <v>228</v>
      </c>
      <c r="H158" s="27">
        <f t="shared" si="4"/>
        <v>2.2916666666666641E-2</v>
      </c>
      <c r="I158" s="28">
        <v>0.43541666666666667</v>
      </c>
      <c r="J158" s="28">
        <v>0.45833333333333331</v>
      </c>
    </row>
    <row r="159" spans="1:10" x14ac:dyDescent="0.2">
      <c r="A159" s="20">
        <v>46108</v>
      </c>
      <c r="B159" s="20" t="s">
        <v>11</v>
      </c>
      <c r="C159" s="25" t="s">
        <v>114</v>
      </c>
      <c r="D159" s="25"/>
      <c r="E159" s="25" t="s">
        <v>62</v>
      </c>
      <c r="F159" s="25" t="s">
        <v>15</v>
      </c>
      <c r="G159" s="26" t="s">
        <v>208</v>
      </c>
      <c r="H159" s="27">
        <f t="shared" si="4"/>
        <v>3.125E-2</v>
      </c>
      <c r="I159" s="28">
        <v>0.45833333333333331</v>
      </c>
      <c r="J159" s="28">
        <v>0.48958333333333331</v>
      </c>
    </row>
    <row r="160" spans="1:10" x14ac:dyDescent="0.2">
      <c r="A160" s="20">
        <v>46108</v>
      </c>
      <c r="B160" s="20" t="s">
        <v>11</v>
      </c>
      <c r="C160" s="25" t="s">
        <v>114</v>
      </c>
      <c r="D160" s="25"/>
      <c r="E160" s="25" t="s">
        <v>69</v>
      </c>
      <c r="F160" s="25" t="s">
        <v>15</v>
      </c>
      <c r="G160" s="26" t="s">
        <v>228</v>
      </c>
      <c r="H160" s="27">
        <f t="shared" si="4"/>
        <v>4.5138888888888895E-2</v>
      </c>
      <c r="I160" s="28">
        <v>0.48958333333333331</v>
      </c>
      <c r="J160" s="28">
        <v>0.53472222222222221</v>
      </c>
    </row>
    <row r="161" spans="1:10" x14ac:dyDescent="0.2">
      <c r="A161" s="20">
        <v>46108</v>
      </c>
      <c r="B161" s="20" t="s">
        <v>11</v>
      </c>
      <c r="C161" s="25" t="s">
        <v>114</v>
      </c>
      <c r="D161" s="25"/>
      <c r="E161" s="25" t="s">
        <v>69</v>
      </c>
      <c r="F161" s="25" t="s">
        <v>15</v>
      </c>
      <c r="G161" s="26" t="s">
        <v>228</v>
      </c>
      <c r="H161" s="27">
        <f t="shared" si="4"/>
        <v>9.027777777777779E-2</v>
      </c>
      <c r="I161" s="28">
        <v>0.57638888888888884</v>
      </c>
      <c r="J161" s="28">
        <v>0.66666666666666663</v>
      </c>
    </row>
    <row r="162" spans="1:10" ht="25.5" x14ac:dyDescent="0.2">
      <c r="A162" s="20">
        <v>46108</v>
      </c>
      <c r="B162" s="20" t="s">
        <v>11</v>
      </c>
      <c r="C162" s="25" t="s">
        <v>114</v>
      </c>
      <c r="D162" s="25"/>
      <c r="E162" s="25" t="s">
        <v>62</v>
      </c>
      <c r="F162" s="25" t="s">
        <v>15</v>
      </c>
      <c r="G162" s="26" t="s">
        <v>204</v>
      </c>
      <c r="H162" s="27">
        <f t="shared" si="4"/>
        <v>5.555555555555558E-2</v>
      </c>
      <c r="I162" s="28">
        <v>0.66666666666666663</v>
      </c>
      <c r="J162" s="28">
        <v>0.72222222222222221</v>
      </c>
    </row>
    <row r="163" spans="1:10" x14ac:dyDescent="0.2">
      <c r="A163" s="29">
        <v>46109</v>
      </c>
      <c r="B163" s="29" t="s">
        <v>14</v>
      </c>
      <c r="C163" s="30"/>
      <c r="D163" s="30"/>
      <c r="E163" s="30"/>
      <c r="F163" s="30"/>
      <c r="G163" s="31"/>
      <c r="H163" s="32">
        <f t="shared" si="4"/>
        <v>0</v>
      </c>
      <c r="I163" s="33"/>
      <c r="J163" s="33"/>
    </row>
    <row r="164" spans="1:10" x14ac:dyDescent="0.2">
      <c r="A164" s="29">
        <v>46110</v>
      </c>
      <c r="B164" s="29" t="s">
        <v>16</v>
      </c>
      <c r="C164" s="30"/>
      <c r="D164" s="30"/>
      <c r="E164" s="30"/>
      <c r="F164" s="30"/>
      <c r="G164" s="31"/>
      <c r="H164" s="32">
        <f t="shared" si="4"/>
        <v>0</v>
      </c>
      <c r="I164" s="33"/>
      <c r="J164" s="33"/>
    </row>
    <row r="165" spans="1:10" x14ac:dyDescent="0.2">
      <c r="A165" s="20">
        <v>46111</v>
      </c>
      <c r="B165" s="20" t="s">
        <v>17</v>
      </c>
      <c r="C165" s="25" t="s">
        <v>114</v>
      </c>
      <c r="D165" s="25"/>
      <c r="E165" s="25" t="s">
        <v>62</v>
      </c>
      <c r="F165" s="25" t="s">
        <v>15</v>
      </c>
      <c r="G165" s="26" t="s">
        <v>201</v>
      </c>
      <c r="H165" s="27">
        <f t="shared" si="4"/>
        <v>1.5277777777777779E-2</v>
      </c>
      <c r="I165" s="28">
        <v>0.33333333333333331</v>
      </c>
      <c r="J165" s="28">
        <v>0.34861111111111109</v>
      </c>
    </row>
    <row r="166" spans="1:10" x14ac:dyDescent="0.2">
      <c r="A166" s="20">
        <v>46111</v>
      </c>
      <c r="B166" s="20" t="s">
        <v>17</v>
      </c>
      <c r="C166" s="25" t="s">
        <v>114</v>
      </c>
      <c r="D166" s="25"/>
      <c r="E166" s="25" t="s">
        <v>69</v>
      </c>
      <c r="F166" s="25" t="s">
        <v>15</v>
      </c>
      <c r="G166" s="26" t="s">
        <v>228</v>
      </c>
      <c r="H166" s="27">
        <f t="shared" si="4"/>
        <v>0.10972222222222222</v>
      </c>
      <c r="I166" s="28">
        <v>0.34861111111111109</v>
      </c>
      <c r="J166" s="28">
        <v>0.45833333333333331</v>
      </c>
    </row>
    <row r="167" spans="1:10" x14ac:dyDescent="0.2">
      <c r="A167" s="20">
        <v>46111</v>
      </c>
      <c r="B167" s="20" t="s">
        <v>17</v>
      </c>
      <c r="C167" s="25" t="s">
        <v>114</v>
      </c>
      <c r="D167" s="25"/>
      <c r="E167" s="25" t="s">
        <v>62</v>
      </c>
      <c r="F167" s="25" t="s">
        <v>15</v>
      </c>
      <c r="G167" s="26" t="s">
        <v>208</v>
      </c>
      <c r="H167" s="27">
        <f t="shared" si="4"/>
        <v>2.430555555555558E-2</v>
      </c>
      <c r="I167" s="28">
        <v>0.45833333333333331</v>
      </c>
      <c r="J167" s="28">
        <v>0.4826388888888889</v>
      </c>
    </row>
    <row r="168" spans="1:10" x14ac:dyDescent="0.2">
      <c r="A168" s="20">
        <v>46111</v>
      </c>
      <c r="B168" s="20" t="s">
        <v>17</v>
      </c>
      <c r="C168" s="25" t="s">
        <v>114</v>
      </c>
      <c r="D168" s="25"/>
      <c r="E168" s="25" t="s">
        <v>69</v>
      </c>
      <c r="F168" s="25" t="s">
        <v>15</v>
      </c>
      <c r="G168" s="26" t="s">
        <v>228</v>
      </c>
      <c r="H168" s="27">
        <f t="shared" si="4"/>
        <v>4.8611111111111105E-2</v>
      </c>
      <c r="I168" s="28">
        <v>0.4826388888888889</v>
      </c>
      <c r="J168" s="28">
        <v>0.53125</v>
      </c>
    </row>
    <row r="169" spans="1:10" x14ac:dyDescent="0.2">
      <c r="A169" s="20">
        <v>46111</v>
      </c>
      <c r="B169" s="20" t="s">
        <v>17</v>
      </c>
      <c r="C169" s="25" t="s">
        <v>114</v>
      </c>
      <c r="D169" s="25"/>
      <c r="E169" s="25" t="s">
        <v>69</v>
      </c>
      <c r="F169" s="25" t="s">
        <v>15</v>
      </c>
      <c r="G169" s="26" t="s">
        <v>228</v>
      </c>
      <c r="H169" s="27">
        <f t="shared" si="4"/>
        <v>9.375E-2</v>
      </c>
      <c r="I169" s="28">
        <v>0.57291666666666663</v>
      </c>
      <c r="J169" s="28">
        <v>0.66666666666666663</v>
      </c>
    </row>
    <row r="170" spans="1:10" ht="25.5" x14ac:dyDescent="0.2">
      <c r="A170" s="20">
        <v>46111</v>
      </c>
      <c r="B170" s="20" t="s">
        <v>17</v>
      </c>
      <c r="C170" s="25" t="s">
        <v>114</v>
      </c>
      <c r="D170" s="25"/>
      <c r="E170" s="25" t="s">
        <v>62</v>
      </c>
      <c r="F170" s="25" t="s">
        <v>15</v>
      </c>
      <c r="G170" s="26" t="s">
        <v>204</v>
      </c>
      <c r="H170" s="27">
        <f t="shared" si="4"/>
        <v>1.8055555555555602E-2</v>
      </c>
      <c r="I170" s="28">
        <v>0.66666666666666663</v>
      </c>
      <c r="J170" s="28">
        <v>0.68472222222222223</v>
      </c>
    </row>
    <row r="171" spans="1:10" x14ac:dyDescent="0.2">
      <c r="A171" s="20">
        <v>46111</v>
      </c>
      <c r="B171" s="20" t="s">
        <v>17</v>
      </c>
      <c r="C171" s="25" t="s">
        <v>114</v>
      </c>
      <c r="D171" s="25"/>
      <c r="E171" s="25" t="s">
        <v>69</v>
      </c>
      <c r="F171" s="25" t="s">
        <v>15</v>
      </c>
      <c r="G171" s="26" t="s">
        <v>228</v>
      </c>
      <c r="H171" s="27">
        <f t="shared" si="4"/>
        <v>4.4444444444444398E-2</v>
      </c>
      <c r="I171" s="28">
        <v>0.68472222222222223</v>
      </c>
      <c r="J171" s="28">
        <v>0.72916666666666663</v>
      </c>
    </row>
    <row r="172" spans="1:10" x14ac:dyDescent="0.2">
      <c r="A172" s="20">
        <v>46112</v>
      </c>
      <c r="B172" s="20" t="s">
        <v>18</v>
      </c>
      <c r="C172" s="25" t="s">
        <v>114</v>
      </c>
      <c r="D172" s="25"/>
      <c r="E172" s="25" t="s">
        <v>62</v>
      </c>
      <c r="F172" s="25" t="s">
        <v>15</v>
      </c>
      <c r="G172" s="26" t="s">
        <v>201</v>
      </c>
      <c r="H172" s="27">
        <f t="shared" si="4"/>
        <v>3.4722222222222099E-3</v>
      </c>
      <c r="I172" s="28">
        <v>0.33680555555555558</v>
      </c>
      <c r="J172" s="28">
        <v>0.34027777777777779</v>
      </c>
    </row>
    <row r="173" spans="1:10" x14ac:dyDescent="0.2">
      <c r="A173" s="20">
        <v>46112</v>
      </c>
      <c r="B173" s="20" t="s">
        <v>18</v>
      </c>
      <c r="C173" s="25" t="s">
        <v>114</v>
      </c>
      <c r="D173" s="25"/>
      <c r="E173" s="25" t="s">
        <v>69</v>
      </c>
      <c r="F173" s="25" t="s">
        <v>15</v>
      </c>
      <c r="G173" s="26" t="s">
        <v>228</v>
      </c>
      <c r="H173" s="27">
        <f t="shared" si="4"/>
        <v>0.11805555555555552</v>
      </c>
      <c r="I173" s="28">
        <v>0.34027777777777779</v>
      </c>
      <c r="J173" s="28">
        <v>0.45833333333333331</v>
      </c>
    </row>
    <row r="174" spans="1:10" x14ac:dyDescent="0.2">
      <c r="A174" s="20">
        <v>46112</v>
      </c>
      <c r="B174" s="20" t="s">
        <v>18</v>
      </c>
      <c r="C174" s="25" t="s">
        <v>114</v>
      </c>
      <c r="D174" s="25"/>
      <c r="E174" s="25" t="s">
        <v>62</v>
      </c>
      <c r="F174" s="25" t="s">
        <v>15</v>
      </c>
      <c r="G174" s="26" t="s">
        <v>208</v>
      </c>
      <c r="H174" s="27">
        <f t="shared" si="4"/>
        <v>2.777777777777779E-2</v>
      </c>
      <c r="I174" s="28">
        <v>0.45833333333333331</v>
      </c>
      <c r="J174" s="28">
        <v>0.4861111111111111</v>
      </c>
    </row>
    <row r="175" spans="1:10" x14ac:dyDescent="0.2">
      <c r="A175" s="20">
        <v>46112</v>
      </c>
      <c r="B175" s="20" t="s">
        <v>18</v>
      </c>
      <c r="C175" s="25" t="s">
        <v>114</v>
      </c>
      <c r="D175" s="25"/>
      <c r="E175" s="25" t="s">
        <v>69</v>
      </c>
      <c r="F175" s="25" t="s">
        <v>15</v>
      </c>
      <c r="G175" s="26" t="s">
        <v>228</v>
      </c>
      <c r="H175" s="27">
        <f t="shared" si="4"/>
        <v>4.8611111111111105E-2</v>
      </c>
      <c r="I175" s="28">
        <v>0.4861111111111111</v>
      </c>
      <c r="J175" s="28">
        <v>0.53472222222222221</v>
      </c>
    </row>
    <row r="176" spans="1:10" x14ac:dyDescent="0.2">
      <c r="A176" s="20">
        <v>46112</v>
      </c>
      <c r="B176" s="20" t="s">
        <v>18</v>
      </c>
      <c r="C176" s="25" t="s">
        <v>114</v>
      </c>
      <c r="D176" s="25"/>
      <c r="E176" s="25" t="s">
        <v>69</v>
      </c>
      <c r="F176" s="25" t="s">
        <v>15</v>
      </c>
      <c r="G176" s="26" t="s">
        <v>228</v>
      </c>
      <c r="H176" s="27">
        <f t="shared" si="4"/>
        <v>9.375E-2</v>
      </c>
      <c r="I176" s="28">
        <v>0.57291666666666663</v>
      </c>
      <c r="J176" s="28">
        <v>0.66666666666666663</v>
      </c>
    </row>
    <row r="177" spans="1:10" ht="13.9" customHeight="1" x14ac:dyDescent="0.2">
      <c r="A177" s="20">
        <v>46112</v>
      </c>
      <c r="B177" s="20" t="s">
        <v>18</v>
      </c>
      <c r="C177" s="25" t="s">
        <v>114</v>
      </c>
      <c r="D177" s="25"/>
      <c r="E177" s="25" t="s">
        <v>62</v>
      </c>
      <c r="F177" s="25" t="s">
        <v>15</v>
      </c>
      <c r="G177" s="26" t="s">
        <v>204</v>
      </c>
      <c r="H177" s="27">
        <f t="shared" ref="H177" si="6">J177-I177</f>
        <v>4.4444444444444509E-2</v>
      </c>
      <c r="I177" s="28">
        <v>0.66666666666666663</v>
      </c>
      <c r="J177" s="28">
        <v>0.71111111111111114</v>
      </c>
    </row>
    <row r="178" spans="1:10" ht="13.9" customHeight="1" thickBot="1" x14ac:dyDescent="0.25">
      <c r="A178" s="44"/>
      <c r="B178" s="44"/>
      <c r="C178" s="43"/>
      <c r="D178" s="43"/>
      <c r="E178" s="43"/>
      <c r="F178" s="43"/>
      <c r="G178" s="43"/>
      <c r="H178" s="34"/>
      <c r="I178" s="35"/>
    </row>
    <row r="179" spans="1:10" ht="13.9" customHeight="1" x14ac:dyDescent="0.2">
      <c r="A179" s="2"/>
      <c r="B179" s="2"/>
      <c r="C179" s="3"/>
      <c r="D179" s="4"/>
      <c r="E179" s="5" t="s">
        <v>21</v>
      </c>
      <c r="F179" s="6">
        <f>F180*8</f>
        <v>176</v>
      </c>
      <c r="H179" s="38"/>
    </row>
    <row r="180" spans="1:10" ht="13.9" customHeight="1" thickBot="1" x14ac:dyDescent="0.25">
      <c r="A180" s="2"/>
      <c r="B180" s="2"/>
      <c r="C180" s="7"/>
      <c r="D180" s="1"/>
      <c r="E180" s="8" t="s">
        <v>22</v>
      </c>
      <c r="F180" s="9">
        <v>22</v>
      </c>
      <c r="H180" s="38"/>
    </row>
    <row r="181" spans="1:10" ht="13.9" customHeight="1" thickBot="1" x14ac:dyDescent="0.25">
      <c r="A181" s="87" t="s">
        <v>23</v>
      </c>
      <c r="B181" s="87"/>
      <c r="C181" s="87"/>
      <c r="D181" s="10"/>
      <c r="E181" s="1"/>
      <c r="F181" s="1"/>
      <c r="H181" s="38"/>
    </row>
    <row r="182" spans="1:10" ht="14.25" x14ac:dyDescent="0.2">
      <c r="A182" s="11"/>
      <c r="B182" s="11"/>
      <c r="C182" s="4"/>
      <c r="D182" s="4"/>
      <c r="E182" s="12" t="s">
        <v>24</v>
      </c>
      <c r="F182" s="13">
        <f>SUMIF(F9:F177,"Billable",H9:H177)</f>
        <v>0</v>
      </c>
      <c r="H182" s="36"/>
    </row>
    <row r="183" spans="1:10" ht="15" customHeight="1" thickBot="1" x14ac:dyDescent="0.25">
      <c r="A183" s="88" t="s">
        <v>25</v>
      </c>
      <c r="B183" s="88"/>
      <c r="C183" s="88"/>
      <c r="D183" s="14"/>
      <c r="E183" s="15" t="s">
        <v>26</v>
      </c>
      <c r="F183" s="16">
        <f>SUMIF(F9:F177,"Non-Billable",H9:H177)</f>
        <v>7.7312499999999975</v>
      </c>
      <c r="H183" s="38"/>
    </row>
    <row r="184" spans="1:10" ht="15" thickBot="1" x14ac:dyDescent="0.25">
      <c r="A184" s="1"/>
      <c r="B184" s="1"/>
      <c r="C184" s="1"/>
      <c r="D184" s="1"/>
      <c r="E184" s="17" t="s">
        <v>27</v>
      </c>
      <c r="F184" s="42">
        <f>F182+F183</f>
        <v>7.7312499999999975</v>
      </c>
      <c r="H184" s="38"/>
    </row>
    <row r="185" spans="1:10" ht="13.5" thickBot="1" x14ac:dyDescent="0.25">
      <c r="A185" s="1"/>
      <c r="B185" s="1"/>
      <c r="C185" s="1"/>
      <c r="D185" s="1"/>
      <c r="E185" s="1"/>
      <c r="F185" s="1"/>
      <c r="H185" s="38"/>
    </row>
    <row r="186" spans="1:10" ht="13.5" thickBot="1" x14ac:dyDescent="0.25">
      <c r="A186" s="1"/>
      <c r="B186" s="1"/>
      <c r="C186" s="1"/>
      <c r="D186" s="1"/>
      <c r="E186" s="18" t="s">
        <v>28</v>
      </c>
      <c r="F186" s="19"/>
      <c r="H186" s="38"/>
    </row>
    <row r="187" spans="1:10" ht="13.5" thickBot="1" x14ac:dyDescent="0.25">
      <c r="E187" s="37"/>
      <c r="H187" s="38"/>
    </row>
  </sheetData>
  <mergeCells count="2">
    <mergeCell ref="A181:C181"/>
    <mergeCell ref="A183:C183"/>
  </mergeCells>
  <phoneticPr fontId="10" type="noConversion"/>
  <conditionalFormatting sqref="A6:B6 D6:E7 D178:E179">
    <cfRule type="containsText" dxfId="17" priority="16" operator="containsText" text="Religious Leave">
      <formula>NOT(ISERROR(SEARCH("Religious Leave",A6)))</formula>
    </cfRule>
    <cfRule type="containsText" dxfId="16" priority="17" operator="containsText" text="Birthday Leave">
      <formula>NOT(ISERROR(SEARCH("Birthday Leave",A6)))</formula>
    </cfRule>
    <cfRule type="containsText" dxfId="15" priority="18" operator="containsText" text="Study Leave">
      <formula>NOT(ISERROR(SEARCH("Study Leave",A6)))</formula>
    </cfRule>
    <cfRule type="containsText" dxfId="14" priority="19" operator="containsText" text="Family Responsibility Leave">
      <formula>NOT(ISERROR(SEARCH("Family Responsibility Leave",A6)))</formula>
    </cfRule>
    <cfRule type="containsText" dxfId="13" priority="20" operator="containsText" text="Sick Leave">
      <formula>NOT(ISERROR(SEARCH("Sick Leave",A6)))</formula>
    </cfRule>
    <cfRule type="containsText" dxfId="12" priority="21" operator="containsText" text="Annual Leave">
      <formula>NOT(ISERROR(SEARCH("Annual Leave",A6)))</formula>
    </cfRule>
    <cfRule type="cellIs" dxfId="11" priority="22" operator="equal">
      <formula>"Public Holiday"</formula>
    </cfRule>
  </conditionalFormatting>
  <conditionalFormatting sqref="B7:B187">
    <cfRule type="containsText" dxfId="10" priority="10" operator="containsText" text="Saturday">
      <formula>NOT(ISERROR(SEARCH("Saturday",B7)))</formula>
    </cfRule>
    <cfRule type="containsText" dxfId="9" priority="11" operator="containsText" text="Sunday">
      <formula>NOT(ISERROR(SEARCH("Sunday",B7)))</formula>
    </cfRule>
  </conditionalFormatting>
  <conditionalFormatting sqref="C48:C63">
    <cfRule type="containsText" dxfId="8" priority="1" operator="containsText" text="Saturday">
      <formula>NOT(ISERROR(SEARCH("Saturday",C48)))</formula>
    </cfRule>
    <cfRule type="containsText" dxfId="7" priority="2" operator="containsText" text="Sunday">
      <formula>NOT(ISERROR(SEARCH("Sunday",C48)))</formula>
    </cfRule>
  </conditionalFormatting>
  <conditionalFormatting sqref="D181:E183 E186">
    <cfRule type="containsText" dxfId="6" priority="3" operator="containsText" text="Religious Leave">
      <formula>NOT(ISERROR(SEARCH("Religious Leave",D181)))</formula>
    </cfRule>
    <cfRule type="containsText" dxfId="5" priority="4" operator="containsText" text="Birthday Leave">
      <formula>NOT(ISERROR(SEARCH("Birthday Leave",D181)))</formula>
    </cfRule>
    <cfRule type="containsText" dxfId="4" priority="5" operator="containsText" text="Study Leave">
      <formula>NOT(ISERROR(SEARCH("Study Leave",D181)))</formula>
    </cfRule>
    <cfRule type="containsText" dxfId="3" priority="6" operator="containsText" text="Family Responsibility Leave">
      <formula>NOT(ISERROR(SEARCH("Family Responsibility Leave",D181)))</formula>
    </cfRule>
    <cfRule type="containsText" dxfId="2" priority="7" operator="containsText" text="Sick Leave">
      <formula>NOT(ISERROR(SEARCH("Sick Leave",D181)))</formula>
    </cfRule>
    <cfRule type="containsText" dxfId="1" priority="8" operator="containsText" text="Annual Leave">
      <formula>NOT(ISERROR(SEARCH("Annual Leave",D181)))</formula>
    </cfRule>
    <cfRule type="cellIs" dxfId="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77" xr:uid="{1C94E27B-8E5C-4C1F-AD20-3494675EE945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693F761-715B-45CE-AC76-906C43DF08FA}">
          <x14:formula1>
            <xm:f>Key!$H$3:$H$83</xm:f>
          </x14:formula1>
          <xm:sqref>B5</xm:sqref>
        </x14:dataValidation>
        <x14:dataValidation type="list" allowBlank="1" showInputMessage="1" showErrorMessage="1" xr:uid="{C39A6A8E-1249-4B2F-AB25-70B85A400C15}">
          <x14:formula1>
            <xm:f>Key!$J$3:$J$4</xm:f>
          </x14:formula1>
          <xm:sqref>F9:F177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E9:E177</xm:sqref>
        </x14:dataValidation>
        <x14:dataValidation type="list" allowBlank="1" showInputMessage="1" showErrorMessage="1" xr:uid="{21903AE5-45BA-428F-AFA8-22E9A01182F3}">
          <x14:formula1>
            <xm:f>Key!$B$2:$B$51</xm:f>
          </x14:formula1>
          <xm:sqref>C9:C177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7"/>
  <sheetViews>
    <sheetView topLeftCell="A11" workbookViewId="0">
      <selection activeCell="F25" sqref="F25"/>
    </sheetView>
  </sheetViews>
  <sheetFormatPr defaultColWidth="8.75" defaultRowHeight="15" x14ac:dyDescent="0.25"/>
  <cols>
    <col min="1" max="1" width="8.75" style="49"/>
    <col min="2" max="2" width="25.5" style="49" customWidth="1"/>
    <col min="3" max="3" width="8.75" style="49"/>
    <col min="4" max="4" width="19.25" style="49" customWidth="1"/>
    <col min="5" max="5" width="8.75" style="49"/>
    <col min="6" max="6" width="21.75" style="49" customWidth="1"/>
    <col min="7" max="16384" width="8.75" style="49"/>
  </cols>
  <sheetData>
    <row r="2" spans="2:10" ht="15.75" thickBot="1" x14ac:dyDescent="0.3">
      <c r="B2" s="61" t="s">
        <v>114</v>
      </c>
      <c r="D2" s="50" t="s">
        <v>101</v>
      </c>
      <c r="F2" s="49" t="s">
        <v>5</v>
      </c>
      <c r="H2" s="49" t="s">
        <v>29</v>
      </c>
      <c r="J2" s="50" t="s">
        <v>13</v>
      </c>
    </row>
    <row r="3" spans="2:10" x14ac:dyDescent="0.25">
      <c r="B3" s="61" t="s">
        <v>102</v>
      </c>
      <c r="D3" s="67" t="s">
        <v>30</v>
      </c>
      <c r="F3" s="52" t="s">
        <v>31</v>
      </c>
      <c r="H3" s="69" t="s">
        <v>198</v>
      </c>
      <c r="J3" s="53" t="s">
        <v>15</v>
      </c>
    </row>
    <row r="4" spans="2:10" x14ac:dyDescent="0.25">
      <c r="B4" s="61" t="s">
        <v>115</v>
      </c>
      <c r="D4" s="51" t="s">
        <v>32</v>
      </c>
      <c r="F4" s="54" t="s">
        <v>33</v>
      </c>
      <c r="H4" s="63" t="s">
        <v>99</v>
      </c>
      <c r="J4" s="55" t="s">
        <v>13</v>
      </c>
    </row>
    <row r="5" spans="2:10" x14ac:dyDescent="0.25">
      <c r="B5" s="61" t="s">
        <v>116</v>
      </c>
      <c r="D5" s="67" t="s">
        <v>35</v>
      </c>
      <c r="F5" s="56" t="s">
        <v>36</v>
      </c>
      <c r="H5" s="70" t="s">
        <v>164</v>
      </c>
    </row>
    <row r="6" spans="2:10" x14ac:dyDescent="0.25">
      <c r="B6" s="61" t="s">
        <v>117</v>
      </c>
      <c r="D6" s="51" t="s">
        <v>38</v>
      </c>
      <c r="F6" s="54" t="s">
        <v>39</v>
      </c>
      <c r="H6" s="71" t="s">
        <v>81</v>
      </c>
    </row>
    <row r="7" spans="2:10" x14ac:dyDescent="0.25">
      <c r="B7" s="61" t="s">
        <v>103</v>
      </c>
      <c r="D7" s="67" t="s">
        <v>40</v>
      </c>
      <c r="F7" s="56" t="s">
        <v>41</v>
      </c>
      <c r="H7" s="63" t="s">
        <v>76</v>
      </c>
    </row>
    <row r="8" spans="2:10" x14ac:dyDescent="0.25">
      <c r="B8" s="61" t="s">
        <v>118</v>
      </c>
      <c r="D8" s="51" t="s">
        <v>43</v>
      </c>
      <c r="F8" s="54" t="s">
        <v>44</v>
      </c>
      <c r="H8" s="69" t="s">
        <v>47</v>
      </c>
      <c r="J8" s="49" t="s">
        <v>113</v>
      </c>
    </row>
    <row r="9" spans="2:10" x14ac:dyDescent="0.25">
      <c r="B9" s="61" t="s">
        <v>119</v>
      </c>
      <c r="D9" s="67" t="s">
        <v>45</v>
      </c>
      <c r="F9" s="56" t="s">
        <v>46</v>
      </c>
      <c r="H9" s="62" t="s">
        <v>12</v>
      </c>
      <c r="J9" s="49" t="s">
        <v>112</v>
      </c>
    </row>
    <row r="10" spans="2:10" x14ac:dyDescent="0.25">
      <c r="B10" s="61" t="s">
        <v>121</v>
      </c>
      <c r="D10" s="51" t="s">
        <v>48</v>
      </c>
      <c r="F10" s="54" t="s">
        <v>49</v>
      </c>
      <c r="H10" s="72" t="s">
        <v>120</v>
      </c>
    </row>
    <row r="11" spans="2:10" x14ac:dyDescent="0.25">
      <c r="B11" s="61" t="s">
        <v>123</v>
      </c>
      <c r="D11" s="67" t="s">
        <v>50</v>
      </c>
      <c r="F11" s="56" t="s">
        <v>51</v>
      </c>
      <c r="H11" s="63" t="s">
        <v>122</v>
      </c>
      <c r="J11" s="49" t="s">
        <v>107</v>
      </c>
    </row>
    <row r="12" spans="2:10" x14ac:dyDescent="0.25">
      <c r="B12" s="61" t="s">
        <v>124</v>
      </c>
      <c r="F12" s="54" t="s">
        <v>52</v>
      </c>
      <c r="H12" s="73" t="s">
        <v>165</v>
      </c>
      <c r="J12" s="49" t="s">
        <v>108</v>
      </c>
    </row>
    <row r="13" spans="2:10" x14ac:dyDescent="0.25">
      <c r="B13" s="61" t="s">
        <v>126</v>
      </c>
      <c r="F13" s="56" t="s">
        <v>53</v>
      </c>
      <c r="H13" s="73" t="s">
        <v>34</v>
      </c>
    </row>
    <row r="14" spans="2:10" x14ac:dyDescent="0.25">
      <c r="B14" s="61" t="s">
        <v>128</v>
      </c>
      <c r="D14" s="57"/>
      <c r="F14" s="54" t="s">
        <v>54</v>
      </c>
      <c r="H14" s="74" t="s">
        <v>125</v>
      </c>
    </row>
    <row r="15" spans="2:10" x14ac:dyDescent="0.25">
      <c r="B15" s="61" t="s">
        <v>104</v>
      </c>
      <c r="D15" s="58"/>
      <c r="F15" s="56" t="s">
        <v>56</v>
      </c>
      <c r="H15" s="73" t="s">
        <v>127</v>
      </c>
    </row>
    <row r="16" spans="2:10" x14ac:dyDescent="0.25">
      <c r="B16" s="61" t="s">
        <v>57</v>
      </c>
      <c r="D16" s="58"/>
      <c r="F16" s="54" t="s">
        <v>58</v>
      </c>
      <c r="H16" s="75" t="s">
        <v>129</v>
      </c>
    </row>
    <row r="17" spans="2:8" ht="26.25" x14ac:dyDescent="0.25">
      <c r="B17" s="61" t="s">
        <v>131</v>
      </c>
      <c r="D17" s="58"/>
      <c r="F17" s="56" t="s">
        <v>59</v>
      </c>
      <c r="H17" s="73" t="s">
        <v>130</v>
      </c>
    </row>
    <row r="18" spans="2:8" x14ac:dyDescent="0.25">
      <c r="B18" s="61" t="s">
        <v>133</v>
      </c>
      <c r="D18" s="58"/>
      <c r="F18" s="54" t="s">
        <v>60</v>
      </c>
      <c r="H18" s="75" t="s">
        <v>61</v>
      </c>
    </row>
    <row r="19" spans="2:8" x14ac:dyDescent="0.25">
      <c r="B19" s="61" t="s">
        <v>135</v>
      </c>
      <c r="D19" s="58"/>
      <c r="F19" s="56" t="s">
        <v>62</v>
      </c>
      <c r="H19" s="76" t="s">
        <v>132</v>
      </c>
    </row>
    <row r="20" spans="2:8" x14ac:dyDescent="0.25">
      <c r="B20" s="61" t="s">
        <v>136</v>
      </c>
      <c r="D20" s="58"/>
      <c r="F20" s="54" t="s">
        <v>63</v>
      </c>
      <c r="H20" s="74" t="s">
        <v>134</v>
      </c>
    </row>
    <row r="21" spans="2:8" x14ac:dyDescent="0.25">
      <c r="B21" s="61" t="s">
        <v>105</v>
      </c>
      <c r="D21" s="58"/>
      <c r="F21" s="56" t="s">
        <v>64</v>
      </c>
      <c r="H21" s="63" t="s">
        <v>95</v>
      </c>
    </row>
    <row r="22" spans="2:8" x14ac:dyDescent="0.25">
      <c r="B22" s="61" t="s">
        <v>137</v>
      </c>
      <c r="D22" s="58"/>
      <c r="F22" s="54" t="s">
        <v>66</v>
      </c>
      <c r="H22" s="77" t="s">
        <v>166</v>
      </c>
    </row>
    <row r="23" spans="2:8" x14ac:dyDescent="0.25">
      <c r="B23" s="61" t="s">
        <v>138</v>
      </c>
      <c r="D23" s="58"/>
      <c r="F23" s="56" t="s">
        <v>68</v>
      </c>
      <c r="H23" s="78" t="s">
        <v>73</v>
      </c>
    </row>
    <row r="24" spans="2:8" x14ac:dyDescent="0.25">
      <c r="B24" s="61" t="s">
        <v>139</v>
      </c>
      <c r="D24" s="58"/>
      <c r="F24" s="54" t="s">
        <v>69</v>
      </c>
      <c r="H24" s="79" t="s">
        <v>167</v>
      </c>
    </row>
    <row r="25" spans="2:8" x14ac:dyDescent="0.25">
      <c r="B25" s="61" t="s">
        <v>140</v>
      </c>
      <c r="D25" s="58"/>
      <c r="F25" s="56" t="s">
        <v>63</v>
      </c>
      <c r="H25" s="80" t="s">
        <v>94</v>
      </c>
    </row>
    <row r="26" spans="2:8" x14ac:dyDescent="0.25">
      <c r="B26" s="61" t="s">
        <v>142</v>
      </c>
      <c r="F26" s="54" t="s">
        <v>70</v>
      </c>
      <c r="H26" s="65" t="s">
        <v>106</v>
      </c>
    </row>
    <row r="27" spans="2:8" x14ac:dyDescent="0.25">
      <c r="B27" s="61" t="s">
        <v>191</v>
      </c>
      <c r="D27" s="58"/>
      <c r="F27" s="56" t="s">
        <v>71</v>
      </c>
      <c r="H27" s="78" t="s">
        <v>96</v>
      </c>
    </row>
    <row r="28" spans="2:8" x14ac:dyDescent="0.25">
      <c r="B28" s="61" t="s">
        <v>143</v>
      </c>
      <c r="D28" s="58"/>
      <c r="F28" s="54" t="s">
        <v>72</v>
      </c>
      <c r="H28" s="65" t="s">
        <v>100</v>
      </c>
    </row>
    <row r="29" spans="2:8" x14ac:dyDescent="0.25">
      <c r="B29" s="61" t="s">
        <v>144</v>
      </c>
      <c r="F29" s="56" t="s">
        <v>74</v>
      </c>
      <c r="H29" s="81" t="s">
        <v>168</v>
      </c>
    </row>
    <row r="30" spans="2:8" x14ac:dyDescent="0.25">
      <c r="B30" s="61" t="s">
        <v>77</v>
      </c>
      <c r="F30" s="54" t="s">
        <v>75</v>
      </c>
      <c r="H30" s="79" t="s">
        <v>169</v>
      </c>
    </row>
    <row r="31" spans="2:8" x14ac:dyDescent="0.25">
      <c r="B31" s="61" t="s">
        <v>146</v>
      </c>
      <c r="F31" s="56" t="s">
        <v>78</v>
      </c>
      <c r="H31" s="82" t="s">
        <v>197</v>
      </c>
    </row>
    <row r="32" spans="2:8" x14ac:dyDescent="0.25">
      <c r="B32" s="61" t="s">
        <v>82</v>
      </c>
      <c r="F32" s="54" t="s">
        <v>79</v>
      </c>
      <c r="H32" s="80" t="s">
        <v>42</v>
      </c>
    </row>
    <row r="33" spans="2:8" x14ac:dyDescent="0.25">
      <c r="B33" s="61" t="s">
        <v>147</v>
      </c>
      <c r="F33" s="56" t="s">
        <v>80</v>
      </c>
      <c r="H33" s="64" t="s">
        <v>141</v>
      </c>
    </row>
    <row r="34" spans="2:8" x14ac:dyDescent="0.25">
      <c r="B34" s="61" t="s">
        <v>149</v>
      </c>
      <c r="F34" s="54" t="s">
        <v>83</v>
      </c>
      <c r="H34" s="64" t="s">
        <v>170</v>
      </c>
    </row>
    <row r="35" spans="2:8" x14ac:dyDescent="0.25">
      <c r="B35" s="61" t="s">
        <v>150</v>
      </c>
      <c r="F35" s="56" t="s">
        <v>84</v>
      </c>
      <c r="H35" s="81" t="s">
        <v>171</v>
      </c>
    </row>
    <row r="36" spans="2:8" x14ac:dyDescent="0.25">
      <c r="B36" s="61" t="s">
        <v>152</v>
      </c>
      <c r="F36" s="54" t="s">
        <v>86</v>
      </c>
      <c r="H36" s="72" t="s">
        <v>172</v>
      </c>
    </row>
    <row r="37" spans="2:8" x14ac:dyDescent="0.25">
      <c r="B37" s="61" t="s">
        <v>153</v>
      </c>
      <c r="F37" s="54" t="s">
        <v>87</v>
      </c>
      <c r="H37" s="64" t="s">
        <v>65</v>
      </c>
    </row>
    <row r="38" spans="2:8" x14ac:dyDescent="0.25">
      <c r="B38" s="61" t="s">
        <v>89</v>
      </c>
      <c r="F38" s="54" t="s">
        <v>88</v>
      </c>
      <c r="H38" s="79" t="s">
        <v>173</v>
      </c>
    </row>
    <row r="39" spans="2:8" x14ac:dyDescent="0.25">
      <c r="B39" s="49" t="s">
        <v>192</v>
      </c>
      <c r="F39" s="54" t="s">
        <v>194</v>
      </c>
      <c r="H39" s="81" t="s">
        <v>174</v>
      </c>
    </row>
    <row r="40" spans="2:8" x14ac:dyDescent="0.25">
      <c r="B40" s="61" t="s">
        <v>97</v>
      </c>
      <c r="F40" s="86" t="s">
        <v>193</v>
      </c>
      <c r="H40" s="82" t="s">
        <v>145</v>
      </c>
    </row>
    <row r="41" spans="2:8" x14ac:dyDescent="0.25">
      <c r="B41" s="61" t="s">
        <v>155</v>
      </c>
      <c r="D41" s="60"/>
      <c r="H41" s="65" t="s">
        <v>109</v>
      </c>
    </row>
    <row r="42" spans="2:8" x14ac:dyDescent="0.25">
      <c r="B42" s="61" t="s">
        <v>156</v>
      </c>
      <c r="H42" s="79" t="s">
        <v>175</v>
      </c>
    </row>
    <row r="43" spans="2:8" x14ac:dyDescent="0.25">
      <c r="B43" s="49" t="s">
        <v>196</v>
      </c>
      <c r="H43" s="81" t="s">
        <v>176</v>
      </c>
    </row>
    <row r="44" spans="2:8" x14ac:dyDescent="0.25">
      <c r="B44" s="59"/>
      <c r="H44" s="79" t="s">
        <v>177</v>
      </c>
    </row>
    <row r="45" spans="2:8" x14ac:dyDescent="0.25">
      <c r="H45" s="64" t="s">
        <v>162</v>
      </c>
    </row>
    <row r="46" spans="2:8" x14ac:dyDescent="0.25">
      <c r="H46" s="83" t="s">
        <v>178</v>
      </c>
    </row>
    <row r="47" spans="2:8" x14ac:dyDescent="0.25">
      <c r="B47" s="59"/>
      <c r="H47" s="82" t="s">
        <v>148</v>
      </c>
    </row>
    <row r="48" spans="2:8" x14ac:dyDescent="0.25">
      <c r="H48" s="84" t="s">
        <v>179</v>
      </c>
    </row>
    <row r="49" spans="8:8" x14ac:dyDescent="0.25">
      <c r="H49" s="70" t="s">
        <v>180</v>
      </c>
    </row>
    <row r="50" spans="8:8" x14ac:dyDescent="0.25">
      <c r="H50" s="77" t="s">
        <v>181</v>
      </c>
    </row>
    <row r="51" spans="8:8" x14ac:dyDescent="0.25">
      <c r="H51" s="81" t="s">
        <v>182</v>
      </c>
    </row>
    <row r="52" spans="8:8" x14ac:dyDescent="0.25">
      <c r="H52" s="65" t="s">
        <v>151</v>
      </c>
    </row>
    <row r="53" spans="8:8" x14ac:dyDescent="0.25">
      <c r="H53" s="65" t="s">
        <v>195</v>
      </c>
    </row>
    <row r="54" spans="8:8" x14ac:dyDescent="0.25">
      <c r="H54" s="82" t="s">
        <v>37</v>
      </c>
    </row>
    <row r="55" spans="8:8" x14ac:dyDescent="0.25">
      <c r="H55" s="65" t="s">
        <v>154</v>
      </c>
    </row>
    <row r="56" spans="8:8" x14ac:dyDescent="0.25">
      <c r="H56" s="82" t="s">
        <v>110</v>
      </c>
    </row>
    <row r="57" spans="8:8" x14ac:dyDescent="0.25">
      <c r="H57" s="65" t="s">
        <v>55</v>
      </c>
    </row>
    <row r="58" spans="8:8" x14ac:dyDescent="0.25">
      <c r="H58" s="82" t="s">
        <v>92</v>
      </c>
    </row>
    <row r="59" spans="8:8" x14ac:dyDescent="0.25">
      <c r="H59" s="64" t="s">
        <v>67</v>
      </c>
    </row>
    <row r="60" spans="8:8" x14ac:dyDescent="0.25">
      <c r="H60" s="82" t="s">
        <v>98</v>
      </c>
    </row>
    <row r="61" spans="8:8" x14ac:dyDescent="0.25">
      <c r="H61" s="64" t="s">
        <v>85</v>
      </c>
    </row>
    <row r="62" spans="8:8" x14ac:dyDescent="0.25">
      <c r="H62" s="81" t="s">
        <v>183</v>
      </c>
    </row>
    <row r="63" spans="8:8" x14ac:dyDescent="0.25">
      <c r="H63" s="79" t="s">
        <v>184</v>
      </c>
    </row>
    <row r="64" spans="8:8" x14ac:dyDescent="0.25">
      <c r="H64" s="65" t="s">
        <v>185</v>
      </c>
    </row>
    <row r="65" spans="8:8" x14ac:dyDescent="0.25">
      <c r="H65" s="82" t="s">
        <v>157</v>
      </c>
    </row>
    <row r="66" spans="8:8" x14ac:dyDescent="0.25">
      <c r="H66" s="81" t="s">
        <v>186</v>
      </c>
    </row>
    <row r="67" spans="8:8" x14ac:dyDescent="0.25">
      <c r="H67" s="79" t="s">
        <v>187</v>
      </c>
    </row>
    <row r="68" spans="8:8" x14ac:dyDescent="0.25">
      <c r="H68" s="65" t="s">
        <v>188</v>
      </c>
    </row>
    <row r="69" spans="8:8" x14ac:dyDescent="0.25">
      <c r="H69" s="65" t="s">
        <v>158</v>
      </c>
    </row>
    <row r="70" spans="8:8" x14ac:dyDescent="0.25">
      <c r="H70" s="82" t="s">
        <v>159</v>
      </c>
    </row>
    <row r="71" spans="8:8" x14ac:dyDescent="0.25">
      <c r="H71" s="85" t="s">
        <v>163</v>
      </c>
    </row>
    <row r="72" spans="8:8" x14ac:dyDescent="0.25">
      <c r="H72" s="64" t="s">
        <v>111</v>
      </c>
    </row>
    <row r="73" spans="8:8" x14ac:dyDescent="0.25">
      <c r="H73" s="80" t="s">
        <v>160</v>
      </c>
    </row>
    <row r="74" spans="8:8" x14ac:dyDescent="0.25">
      <c r="H74" s="64" t="s">
        <v>161</v>
      </c>
    </row>
    <row r="75" spans="8:8" x14ac:dyDescent="0.25">
      <c r="H75" s="80" t="s">
        <v>90</v>
      </c>
    </row>
    <row r="76" spans="8:8" x14ac:dyDescent="0.25">
      <c r="H76" s="65" t="s">
        <v>189</v>
      </c>
    </row>
    <row r="77" spans="8:8" x14ac:dyDescent="0.25">
      <c r="H77" s="66" t="s">
        <v>190</v>
      </c>
    </row>
  </sheetData>
  <sortState xmlns:xlrd2="http://schemas.microsoft.com/office/spreadsheetml/2017/richdata2" ref="B5:B87">
    <sortCondition ref="B87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5D0308-A962-4273-9D27-8D7E6C533D1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61C263E3-2AA1-43E0-8AC9-C7C66277B3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bf0c3-7c02-4ad1-9a2b-bad21eeec9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BE13FA5-2B48-4235-B442-8317F2373CF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</vt:lpstr>
      <vt:lpstr>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Teolan Govender</cp:lastModifiedBy>
  <dcterms:created xsi:type="dcterms:W3CDTF">2020-04-02T09:04:10Z</dcterms:created>
  <dcterms:modified xsi:type="dcterms:W3CDTF">2026-07-02T12:42:50Z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