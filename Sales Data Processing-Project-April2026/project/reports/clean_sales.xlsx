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drawings/drawing2.xml" ContentType="application/vnd.openxmlformats-officedocument.drawingml.chartshapes+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sc_TeolanGovender_2026\Sales Data Processing-Project-April2026\project\reports\"/>
    </mc:Choice>
  </mc:AlternateContent>
  <xr:revisionPtr revIDLastSave="0" documentId="13_ncr:1_{744D0CE5-79A2-4C65-BC3A-FDE8ECB4B54A}" xr6:coauthVersionLast="47" xr6:coauthVersionMax="47" xr10:uidLastSave="{00000000-0000-0000-0000-000000000000}"/>
  <bookViews>
    <workbookView xWindow="-120" yWindow="-120" windowWidth="29040" windowHeight="15720" xr2:uid="{00000000-000D-0000-FFFF-FFFF00000000}"/>
  </bookViews>
  <sheets>
    <sheet name="Pivot table" sheetId="3" r:id="rId1"/>
    <sheet name="Dashboard" sheetId="4" r:id="rId2"/>
    <sheet name="clean_sales" sheetId="2" r:id="rId3"/>
  </sheets>
  <definedNames>
    <definedName name="ExternalData_1" localSheetId="2" hidden="1">'clean_sales'!$A$1:$L$51</definedName>
    <definedName name="NativeTimeline_date">#N/A</definedName>
    <definedName name="Slicer_region">#N/A</definedName>
  </definedNames>
  <calcPr calcId="162913"/>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6"/>
      </x15:timelineCacheRefs>
    </ex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E27B43F-C024-471F-B5B6-3B235E815F38}"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s>
</file>

<file path=xl/sharedStrings.xml><?xml version="1.0" encoding="utf-8"?>
<sst xmlns="http://schemas.openxmlformats.org/spreadsheetml/2006/main" count="415" uniqueCount="54">
  <si>
    <t>transaction_id</t>
  </si>
  <si>
    <t>date</t>
  </si>
  <si>
    <t>product</t>
  </si>
  <si>
    <t>category</t>
  </si>
  <si>
    <t>quantity</t>
  </si>
  <si>
    <t>price</t>
  </si>
  <si>
    <t>region</t>
  </si>
  <si>
    <t>salesperson</t>
  </si>
  <si>
    <t>revenue</t>
  </si>
  <si>
    <t>month</t>
  </si>
  <si>
    <t>Laptop</t>
  </si>
  <si>
    <t>Electronics</t>
  </si>
  <si>
    <t>North</t>
  </si>
  <si>
    <t>John</t>
  </si>
  <si>
    <t>January</t>
  </si>
  <si>
    <t>Phone</t>
  </si>
  <si>
    <t>South</t>
  </si>
  <si>
    <t>Mary</t>
  </si>
  <si>
    <t>Tablet</t>
  </si>
  <si>
    <t>East</t>
  </si>
  <si>
    <t>David</t>
  </si>
  <si>
    <t>Chair</t>
  </si>
  <si>
    <t>Furniture</t>
  </si>
  <si>
    <t>West</t>
  </si>
  <si>
    <t>Sarah</t>
  </si>
  <si>
    <t>Desk</t>
  </si>
  <si>
    <t>February</t>
  </si>
  <si>
    <t>March</t>
  </si>
  <si>
    <t>April</t>
  </si>
  <si>
    <t>Row Labels</t>
  </si>
  <si>
    <t>Grand Total</t>
  </si>
  <si>
    <t>Count of quantity</t>
  </si>
  <si>
    <t>Sum of quantity</t>
  </si>
  <si>
    <t>Sum of revenue</t>
  </si>
  <si>
    <t>2</t>
  </si>
  <si>
    <t>24000</t>
  </si>
  <si>
    <t>5</t>
  </si>
  <si>
    <t>40000</t>
  </si>
  <si>
    <t>3</t>
  </si>
  <si>
    <t>18000</t>
  </si>
  <si>
    <t>4500</t>
  </si>
  <si>
    <t>6000</t>
  </si>
  <si>
    <t>1</t>
  </si>
  <si>
    <t>12000</t>
  </si>
  <si>
    <t>6</t>
  </si>
  <si>
    <t>48000</t>
  </si>
  <si>
    <t>7500</t>
  </si>
  <si>
    <t>9000</t>
  </si>
  <si>
    <t>4</t>
  </si>
  <si>
    <t>32000</t>
  </si>
  <si>
    <t>7</t>
  </si>
  <si>
    <t>56000</t>
  </si>
  <si>
    <t>quantity2</t>
  </si>
  <si>
    <t>revenue3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</si>
</sst>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quot;R&quot;#,##0.00"/>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xf numFmtId="165" fontId="0" fillId="0" borderId="0" xfId="0" applyNumberFormat="1"/>
    <xf numFmtId="1" fontId="0" fillId="0" borderId="0" xfId="0" applyNumberFormat="1"/>
    <xf numFmtId="0" fontId="0" fillId="0" borderId="0" xfId="0" applyNumberFormat="1"/>
  </cellXfs>
  <cellStyles count="1">
    <cellStyle name="Normal" xfId="0" builtinId="0"/>
  </cellStyles>
  <dxfs count="20">
    <dxf>
      <numFmt numFmtId="0" formatCode="General"/>
    </dxf>
    <dxf>
      <numFmt numFmtId="165" formatCode="&quot;R&quot;#,##0.00"/>
    </dxf>
    <dxf>
      <numFmt numFmtId="165" formatCode="&quot;R&quot;#,##0.00"/>
    </dxf>
    <dxf>
      <numFmt numFmtId="0" formatCode="General"/>
    </dxf>
    <dxf>
      <numFmt numFmtId="19" formatCode="yyyy/mm/dd"/>
    </dxf>
    <dxf>
      <numFmt numFmtId="0" formatCode="General"/>
    </dxf>
    <dxf>
      <numFmt numFmtId="0" formatCode="General"/>
    </dxf>
    <dxf>
      <numFmt numFmtId="0" formatCode="General"/>
    </dxf>
    <dxf>
      <numFmt numFmtId="164" formatCode="0.0"/>
    </dxf>
    <dxf>
      <numFmt numFmtId="0" formatCode="General"/>
    </dxf>
    <dxf>
      <numFmt numFmtId="0" formatCode="General"/>
    </dxf>
    <dxf>
      <numFmt numFmtId="165" formatCode="&quot;R&quot;#,##0.00"/>
    </dxf>
    <dxf>
      <numFmt numFmtId="1" formatCode="0"/>
    </dxf>
    <dxf>
      <numFmt numFmtId="165" formatCode="&quot;R&quot;#,##0.00"/>
    </dxf>
    <dxf>
      <numFmt numFmtId="1" formatCode="0"/>
    </dxf>
    <dxf>
      <numFmt numFmtId="1" formatCode="0"/>
    </dxf>
    <dxf>
      <numFmt numFmtId="1" formatCode="0"/>
    </dxf>
    <dxf>
      <numFmt numFmtId="1" formatCode="0"/>
    </dxf>
    <dxf>
      <numFmt numFmtId="165" formatCode="&quot;R&quot;#,##0.0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1/relationships/timelineCache" Target="timelineCaches/timelineCache1.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Product category distribution</a:t>
            </a:r>
          </a:p>
        </c:rich>
      </c:tx>
      <c:layout>
        <c:manualLayout>
          <c:xMode val="edge"/>
          <c:yMode val="edge"/>
          <c:x val="0.18888888888888888"/>
          <c:y val="6.8627924576912552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marker>
          <c:symbol val="none"/>
        </c:marker>
        <c:dLbl>
          <c:idx val="0"/>
          <c:delete val="1"/>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2"/>
          </a:solidFill>
          <a:ln w="19050">
            <a:solidFill>
              <a:schemeClr val="lt1"/>
            </a:solidFill>
          </a:ln>
          <a:effectLst/>
        </c:spPr>
      </c:pivotFmt>
      <c:pivotFmt>
        <c:idx val="16"/>
        <c:spPr>
          <a:solidFill>
            <a:schemeClr val="accent3"/>
          </a:solidFill>
          <a:ln w="19050">
            <a:solidFill>
              <a:schemeClr val="lt1"/>
            </a:solidFill>
          </a:ln>
          <a:effectLst/>
        </c:spPr>
      </c:pivotFmt>
      <c:pivotFmt>
        <c:idx val="17"/>
        <c:spPr>
          <a:solidFill>
            <a:schemeClr val="accent4"/>
          </a:solidFill>
          <a:ln w="19050">
            <a:solidFill>
              <a:schemeClr val="lt1"/>
            </a:solidFill>
          </a:ln>
          <a:effectLst/>
        </c:spPr>
      </c:pivotFmt>
      <c:pivotFmt>
        <c:idx val="18"/>
        <c:spPr>
          <a:solidFill>
            <a:schemeClr val="accent5"/>
          </a:solidFill>
          <a:ln w="19050">
            <a:solidFill>
              <a:schemeClr val="lt1"/>
            </a:solidFill>
          </a:ln>
          <a:effectLst/>
        </c:spPr>
      </c:pivotFmt>
    </c:pivotFmts>
    <c:plotArea>
      <c:layout/>
      <c:ofPieChart>
        <c:ofPieType val="pie"/>
        <c:varyColors val="1"/>
        <c:ser>
          <c:idx val="0"/>
          <c:order val="0"/>
          <c:tx>
            <c:strRef>
              <c:f>Dashboard!$B$15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C-75A9-4E74-8C5F-9EC5CFE2186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E-75A9-4E74-8C5F-9EC5CFE2186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0-75A9-4E74-8C5F-9EC5CFE2186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2-75A9-4E74-8C5F-9EC5CFE2186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4-75A9-4E74-8C5F-9EC5CFE21868}"/>
              </c:ext>
            </c:extLst>
          </c:dPt>
          <c:dPt>
            <c:idx val="5"/>
            <c:bubble3D val="0"/>
            <c:extLst>
              <c:ext xmlns:c16="http://schemas.microsoft.com/office/drawing/2014/chart" uri="{C3380CC4-5D6E-409C-BE32-E72D297353CC}">
                <c16:uniqueId val="{00000046-75A9-4E74-8C5F-9EC5CFE21868}"/>
              </c:ext>
            </c:extLst>
          </c:dPt>
          <c:cat>
            <c:multiLvlStrRef>
              <c:f>Dashboard!$A$16:$A$23</c:f>
              <c:multiLvlStrCache>
                <c:ptCount val="5"/>
                <c:lvl>
                  <c:pt idx="0">
                    <c:v>Laptop</c:v>
                  </c:pt>
                  <c:pt idx="1">
                    <c:v>Phone</c:v>
                  </c:pt>
                  <c:pt idx="2">
                    <c:v>Tablet</c:v>
                  </c:pt>
                  <c:pt idx="3">
                    <c:v>Chair</c:v>
                  </c:pt>
                  <c:pt idx="4">
                    <c:v>Desk</c:v>
                  </c:pt>
                </c:lvl>
                <c:lvl>
                  <c:pt idx="0">
                    <c:v>Electronics</c:v>
                  </c:pt>
                  <c:pt idx="3">
                    <c:v>Furniture</c:v>
                  </c:pt>
                </c:lvl>
              </c:multiLvlStrCache>
            </c:multiLvlStrRef>
          </c:cat>
          <c:val>
            <c:numRef>
              <c:f>Dashboard!$B$16:$B$23</c:f>
              <c:numCache>
                <c:formatCode>General</c:formatCode>
                <c:ptCount val="5"/>
                <c:pt idx="0">
                  <c:v>15</c:v>
                </c:pt>
                <c:pt idx="1">
                  <c:v>55</c:v>
                </c:pt>
                <c:pt idx="2">
                  <c:v>25</c:v>
                </c:pt>
                <c:pt idx="3">
                  <c:v>45</c:v>
                </c:pt>
                <c:pt idx="4">
                  <c:v>25</c:v>
                </c:pt>
              </c:numCache>
            </c:numRef>
          </c:val>
          <c:extLst>
            <c:ext xmlns:c16="http://schemas.microsoft.com/office/drawing/2014/chart" uri="{C3380CC4-5D6E-409C-BE32-E72D297353CC}">
              <c16:uniqueId val="{00000047-75A9-4E74-8C5F-9EC5CFE21868}"/>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Dashboard!$B$1</c:f>
              <c:strCache>
                <c:ptCount val="1"/>
                <c:pt idx="0">
                  <c:v>Total</c:v>
                </c:pt>
              </c:strCache>
            </c:strRef>
          </c:tx>
          <c:spPr>
            <a:solidFill>
              <a:schemeClr val="accent1"/>
            </a:solidFill>
            <a:ln>
              <a:noFill/>
            </a:ln>
            <a:effectLst/>
          </c:spPr>
          <c:invertIfNegative val="0"/>
          <c:cat>
            <c:strRef>
              <c:f>Dashboard!$A$2:$A$6</c:f>
              <c:strCache>
                <c:ptCount val="4"/>
                <c:pt idx="0">
                  <c:v>East</c:v>
                </c:pt>
                <c:pt idx="1">
                  <c:v>North</c:v>
                </c:pt>
                <c:pt idx="2">
                  <c:v>South</c:v>
                </c:pt>
                <c:pt idx="3">
                  <c:v>West</c:v>
                </c:pt>
              </c:strCache>
            </c:strRef>
          </c:cat>
          <c:val>
            <c:numRef>
              <c:f>Dashboard!$B$2:$B$6</c:f>
              <c:numCache>
                <c:formatCode>General</c:formatCode>
                <c:ptCount val="4"/>
                <c:pt idx="0">
                  <c:v>12</c:v>
                </c:pt>
                <c:pt idx="1">
                  <c:v>13</c:v>
                </c:pt>
                <c:pt idx="2">
                  <c:v>13</c:v>
                </c:pt>
                <c:pt idx="3">
                  <c:v>12</c:v>
                </c:pt>
              </c:numCache>
            </c:numRef>
          </c:val>
          <c:extLst>
            <c:ext xmlns:c16="http://schemas.microsoft.com/office/drawing/2014/chart" uri="{C3380CC4-5D6E-409C-BE32-E72D297353CC}">
              <c16:uniqueId val="{00000000-03AE-4DF3-B43C-04949973CF6C}"/>
            </c:ext>
          </c:extLst>
        </c:ser>
        <c:dLbls>
          <c:showLegendKey val="0"/>
          <c:showVal val="0"/>
          <c:showCatName val="0"/>
          <c:showSerName val="0"/>
          <c:showPercent val="0"/>
          <c:showBubbleSize val="0"/>
        </c:dLbls>
        <c:gapWidth val="182"/>
        <c:axId val="1133767695"/>
        <c:axId val="1133751855"/>
      </c:barChart>
      <c:catAx>
        <c:axId val="11337676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51855"/>
        <c:crosses val="autoZero"/>
        <c:auto val="1"/>
        <c:lblAlgn val="ctr"/>
        <c:lblOffset val="100"/>
        <c:noMultiLvlLbl val="0"/>
      </c:catAx>
      <c:valAx>
        <c:axId val="113375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67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revenue</a:t>
            </a:r>
          </a:p>
        </c:rich>
      </c:tx>
      <c:layout>
        <c:manualLayout>
          <c:xMode val="edge"/>
          <c:yMode val="edge"/>
          <c:x val="0.39258799171842651"/>
          <c:y val="5.52562421397995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Dashboard!$B$8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Dashboard!$A$9:$A$13</c:f>
              <c:strCache>
                <c:ptCount val="4"/>
                <c:pt idx="0">
                  <c:v>January</c:v>
                </c:pt>
                <c:pt idx="1">
                  <c:v>February</c:v>
                </c:pt>
                <c:pt idx="2">
                  <c:v>March</c:v>
                </c:pt>
                <c:pt idx="3">
                  <c:v>April</c:v>
                </c:pt>
              </c:strCache>
            </c:strRef>
          </c:cat>
          <c:val>
            <c:numRef>
              <c:f>Dashboard!$B$9:$B$13</c:f>
              <c:numCache>
                <c:formatCode>"R"#\ ##0.00</c:formatCode>
                <c:ptCount val="4"/>
                <c:pt idx="0">
                  <c:v>164500</c:v>
                </c:pt>
                <c:pt idx="1">
                  <c:v>200500</c:v>
                </c:pt>
                <c:pt idx="2">
                  <c:v>271500</c:v>
                </c:pt>
                <c:pt idx="3">
                  <c:v>276000</c:v>
                </c:pt>
              </c:numCache>
            </c:numRef>
          </c:val>
          <c:smooth val="0"/>
          <c:extLst>
            <c:ext xmlns:c16="http://schemas.microsoft.com/office/drawing/2014/chart" uri="{C3380CC4-5D6E-409C-BE32-E72D297353CC}">
              <c16:uniqueId val="{00000000-31BF-44D0-AAC0-072EAA46FA81}"/>
            </c:ext>
          </c:extLst>
        </c:ser>
        <c:dLbls>
          <c:showLegendKey val="0"/>
          <c:showVal val="0"/>
          <c:showCatName val="0"/>
          <c:showSerName val="0"/>
          <c:showPercent val="0"/>
          <c:showBubbleSize val="0"/>
        </c:dLbls>
        <c:marker val="1"/>
        <c:smooth val="0"/>
        <c:axId val="1133752815"/>
        <c:axId val="1133772495"/>
      </c:lineChart>
      <c:catAx>
        <c:axId val="113375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72495"/>
        <c:crosses val="autoZero"/>
        <c:auto val="1"/>
        <c:lblAlgn val="ctr"/>
        <c:lblOffset val="100"/>
        <c:noMultiLvlLbl val="0"/>
      </c:catAx>
      <c:valAx>
        <c:axId val="1133772495"/>
        <c:scaling>
          <c:orientation val="minMax"/>
        </c:scaling>
        <c:delete val="0"/>
        <c:axPos val="l"/>
        <c:majorGridlines>
          <c:spPr>
            <a:ln w="9525" cap="flat" cmpd="sng" algn="ctr">
              <a:solidFill>
                <a:schemeClr val="tx1">
                  <a:lumMod val="15000"/>
                  <a:lumOff val="85000"/>
                </a:schemeClr>
              </a:solidFill>
              <a:round/>
            </a:ln>
            <a:effectLst/>
          </c:spPr>
        </c:majorGridlines>
        <c:numFmt formatCode="&quot;R&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5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85725</xdr:colOff>
      <xdr:row>8</xdr:row>
      <xdr:rowOff>142875</xdr:rowOff>
    </xdr:from>
    <xdr:to>
      <xdr:col>11</xdr:col>
      <xdr:colOff>314325</xdr:colOff>
      <xdr:row>25</xdr:row>
      <xdr:rowOff>9525</xdr:rowOff>
    </xdr:to>
    <xdr:graphicFrame macro="">
      <xdr:nvGraphicFramePr>
        <xdr:cNvPr id="2" name="Chart 1">
          <a:extLst>
            <a:ext uri="{FF2B5EF4-FFF2-40B4-BE49-F238E27FC236}">
              <a16:creationId xmlns:a16="http://schemas.microsoft.com/office/drawing/2014/main" id="{E681ADEA-A3B8-0A74-7933-886FDD9E8C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76200</xdr:colOff>
      <xdr:row>33</xdr:row>
      <xdr:rowOff>104775</xdr:rowOff>
    </xdr:from>
    <xdr:to>
      <xdr:col>25</xdr:col>
      <xdr:colOff>38100</xdr:colOff>
      <xdr:row>51</xdr:row>
      <xdr:rowOff>9525</xdr:rowOff>
    </xdr:to>
    <xdr:graphicFrame macro="">
      <xdr:nvGraphicFramePr>
        <xdr:cNvPr id="3" name="Chart 2">
          <a:extLst>
            <a:ext uri="{FF2B5EF4-FFF2-40B4-BE49-F238E27FC236}">
              <a16:creationId xmlns:a16="http://schemas.microsoft.com/office/drawing/2014/main" id="{F3F18BC2-689C-CF0D-7630-1DCB88EA46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19050</xdr:colOff>
      <xdr:row>8</xdr:row>
      <xdr:rowOff>128586</xdr:rowOff>
    </xdr:from>
    <xdr:to>
      <xdr:col>25</xdr:col>
      <xdr:colOff>57150</xdr:colOff>
      <xdr:row>25</xdr:row>
      <xdr:rowOff>57149</xdr:rowOff>
    </xdr:to>
    <xdr:graphicFrame macro="">
      <xdr:nvGraphicFramePr>
        <xdr:cNvPr id="4" name="Chart 3">
          <a:extLst>
            <a:ext uri="{FF2B5EF4-FFF2-40B4-BE49-F238E27FC236}">
              <a16:creationId xmlns:a16="http://schemas.microsoft.com/office/drawing/2014/main" id="{8BF02F33-43A3-3512-B9D0-B8A7EF8874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466725</xdr:colOff>
      <xdr:row>8</xdr:row>
      <xdr:rowOff>85725</xdr:rowOff>
    </xdr:from>
    <xdr:to>
      <xdr:col>14</xdr:col>
      <xdr:colOff>466725</xdr:colOff>
      <xdr:row>24</xdr:row>
      <xdr:rowOff>171450</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8DA34679-0ED5-4E6E-6168-46C96BE03A8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953125" y="1609725"/>
              <a:ext cx="1828800" cy="313372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133350</xdr:colOff>
      <xdr:row>25</xdr:row>
      <xdr:rowOff>123825</xdr:rowOff>
    </xdr:from>
    <xdr:to>
      <xdr:col>25</xdr:col>
      <xdr:colOff>57150</xdr:colOff>
      <xdr:row>32</xdr:row>
      <xdr:rowOff>161925</xdr:rowOff>
    </xdr:to>
    <mc:AlternateContent xmlns:mc="http://schemas.openxmlformats.org/markup-compatibility/2006" xmlns:tsle="http://schemas.microsoft.com/office/drawing/2012/timeslicer">
      <mc:Choice Requires="tsle">
        <xdr:graphicFrame macro="">
          <xdr:nvGraphicFramePr>
            <xdr:cNvPr id="7" name="date">
              <a:extLst>
                <a:ext uri="{FF2B5EF4-FFF2-40B4-BE49-F238E27FC236}">
                  <a16:creationId xmlns:a16="http://schemas.microsoft.com/office/drawing/2014/main" id="{58D3B7B2-ADE9-5B17-1C1D-308FD4033C6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33350" y="4886325"/>
              <a:ext cx="13944600" cy="1371600"/>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twoCellAnchor>
    <xdr:from>
      <xdr:col>2</xdr:col>
      <xdr:colOff>76200</xdr:colOff>
      <xdr:row>1</xdr:row>
      <xdr:rowOff>0</xdr:rowOff>
    </xdr:from>
    <xdr:to>
      <xdr:col>25</xdr:col>
      <xdr:colOff>95250</xdr:colOff>
      <xdr:row>8</xdr:row>
      <xdr:rowOff>47625</xdr:rowOff>
    </xdr:to>
    <xdr:sp macro="" textlink="">
      <xdr:nvSpPr>
        <xdr:cNvPr id="8" name="TextBox 7">
          <a:extLst>
            <a:ext uri="{FF2B5EF4-FFF2-40B4-BE49-F238E27FC236}">
              <a16:creationId xmlns:a16="http://schemas.microsoft.com/office/drawing/2014/main" id="{DEA5B867-D51B-FC84-2AB6-9515A369AF52}"/>
            </a:ext>
          </a:extLst>
        </xdr:cNvPr>
        <xdr:cNvSpPr txBox="1"/>
      </xdr:nvSpPr>
      <xdr:spPr>
        <a:xfrm>
          <a:off x="76200" y="190500"/>
          <a:ext cx="14039850" cy="138112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ZA" sz="6000">
              <a:solidFill>
                <a:schemeClr val="bg2">
                  <a:lumMod val="25000"/>
                </a:schemeClr>
              </a:solidFill>
            </a:rPr>
            <a:t>Sales Data Dashboard</a:t>
          </a:r>
        </a:p>
      </xdr:txBody>
    </xdr:sp>
    <xdr:clientData/>
  </xdr:twoCellAnchor>
</xdr:wsDr>
</file>

<file path=xl/drawings/drawing2.xml><?xml version="1.0" encoding="utf-8"?>
<c:userShapes xmlns:c="http://schemas.openxmlformats.org/drawingml/2006/chart">
  <cdr:relSizeAnchor xmlns:cdr="http://schemas.openxmlformats.org/drawingml/2006/chartDrawing">
    <cdr:from>
      <cdr:x>0.09333</cdr:x>
      <cdr:y>0.84049</cdr:y>
    </cdr:from>
    <cdr:to>
      <cdr:x>0.235</cdr:x>
      <cdr:y>0.91718</cdr:y>
    </cdr:to>
    <cdr:sp macro="" textlink="">
      <cdr:nvSpPr>
        <cdr:cNvPr id="2" name="TextBox 1">
          <a:extLst xmlns:a="http://schemas.openxmlformats.org/drawingml/2006/main">
            <a:ext uri="{FF2B5EF4-FFF2-40B4-BE49-F238E27FC236}">
              <a16:creationId xmlns:a16="http://schemas.microsoft.com/office/drawing/2014/main" id="{05B08388-B212-04AB-443E-0BFA1FA559B2}"/>
            </a:ext>
          </a:extLst>
        </cdr:cNvPr>
        <cdr:cNvSpPr txBox="1"/>
      </cdr:nvSpPr>
      <cdr:spPr>
        <a:xfrm xmlns:a="http://schemas.openxmlformats.org/drawingml/2006/main">
          <a:off x="533400" y="2609849"/>
          <a:ext cx="809625" cy="23812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ZA" sz="1100" kern="1200"/>
            <a:t>Electronics</a:t>
          </a:r>
        </a:p>
      </cdr:txBody>
    </cdr:sp>
  </cdr:relSizeAnchor>
  <cdr:relSizeAnchor xmlns:cdr="http://schemas.openxmlformats.org/drawingml/2006/chartDrawing">
    <cdr:from>
      <cdr:x>0.61222</cdr:x>
      <cdr:y>0.82618</cdr:y>
    </cdr:from>
    <cdr:to>
      <cdr:x>0.75389</cdr:x>
      <cdr:y>0.90286</cdr:y>
    </cdr:to>
    <cdr:sp macro="" textlink="">
      <cdr:nvSpPr>
        <cdr:cNvPr id="4" name="TextBox 1">
          <a:extLst xmlns:a="http://schemas.openxmlformats.org/drawingml/2006/main">
            <a:ext uri="{FF2B5EF4-FFF2-40B4-BE49-F238E27FC236}">
              <a16:creationId xmlns:a16="http://schemas.microsoft.com/office/drawing/2014/main" id="{CEC7B964-203A-5E73-B64A-C847F910E8C2}"/>
            </a:ext>
          </a:extLst>
        </cdr:cNvPr>
        <cdr:cNvSpPr txBox="1"/>
      </cdr:nvSpPr>
      <cdr:spPr>
        <a:xfrm xmlns:a="http://schemas.openxmlformats.org/drawingml/2006/main">
          <a:off x="3498850" y="2565400"/>
          <a:ext cx="80962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ZA" sz="1100" kern="1200"/>
            <a:t>Funiture</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olan Govender" refreshedDate="46127.420721759256" createdVersion="8" refreshedVersion="8" minRefreshableVersion="3" recordCount="50" xr:uid="{387324C8-3E56-4B18-9EE6-CB04AEEBC4A3}">
  <cacheSource type="worksheet">
    <worksheetSource name="clean_sales"/>
  </cacheSource>
  <cacheFields count="11">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cacheField>
    <cacheField name="product" numFmtId="0">
      <sharedItems containsBlank="1" count="6">
        <s v="Laptop"/>
        <s v="Phone"/>
        <s v="Tablet"/>
        <s v="Chair"/>
        <s v="Desk"/>
        <m u="1"/>
      </sharedItems>
    </cacheField>
    <cacheField name="category" numFmtId="0">
      <sharedItems count="2">
        <s v="Electronics"/>
        <s v="Furniture"/>
      </sharedItems>
    </cacheField>
    <cacheField name="quantity" numFmtId="0">
      <sharedItems containsSemiMixedTypes="0" containsString="0" containsNumber="1" containsInteger="1" minValue="1" maxValue="7"/>
    </cacheField>
    <cacheField name="price" numFmtId="165">
      <sharedItems containsSemiMixedTypes="0" containsString="0" containsNumber="1" containsInteger="1" minValue="1500" maxValue="12000"/>
    </cacheField>
    <cacheField name="region" numFmtId="0">
      <sharedItems containsBlank="1" count="5">
        <s v="North"/>
        <s v="South"/>
        <s v="East"/>
        <s v="West"/>
        <m u="1"/>
      </sharedItems>
    </cacheField>
    <cacheField name="salesperson" numFmtId="0">
      <sharedItems count="4">
        <s v="John"/>
        <s v="Mary"/>
        <s v="David"/>
        <s v="Sarah"/>
      </sharedItems>
    </cacheField>
    <cacheField name="revenue" numFmtId="0">
      <sharedItems containsMixedTypes="1" containsNumber="1" containsInteger="1" minValue="4500" maxValue="56000" count="22">
        <n v="24000"/>
        <n v="40000"/>
        <n v="18000"/>
        <n v="4500"/>
        <n v="6000"/>
        <n v="12000"/>
        <n v="48000"/>
        <n v="7500"/>
        <n v="9000"/>
        <n v="32000"/>
        <n v="56000"/>
        <s v="24000" u="1"/>
        <s v="40000" u="1"/>
        <s v="18000" u="1"/>
        <s v="4500" u="1"/>
        <s v="6000" u="1"/>
        <s v="12000" u="1"/>
        <s v="48000" u="1"/>
        <s v="7500" u="1"/>
        <s v="9000" u="1"/>
        <s v="32000" u="1"/>
        <s v="56000" u="1"/>
      </sharedItems>
    </cacheField>
    <cacheField name="month" numFmtId="0">
      <sharedItems count="4">
        <s v="January"/>
        <s v="February"/>
        <s v="March"/>
        <s v="April"/>
      </sharedItems>
    </cacheField>
    <cacheField name="Product performance" numFmtId="0" formula="product*quantity" databaseField="0"/>
  </cacheFields>
  <extLst>
    <ext xmlns:x14="http://schemas.microsoft.com/office/spreadsheetml/2009/9/main" uri="{725AE2AE-9491-48be-B2B4-4EB974FC3084}">
      <x14:pivotCacheDefinition pivotCacheId="9933416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n v="2"/>
    <n v="12000"/>
    <x v="0"/>
    <x v="0"/>
    <x v="0"/>
    <x v="0"/>
  </r>
  <r>
    <n v="1002"/>
    <x v="1"/>
    <x v="1"/>
    <x v="0"/>
    <n v="5"/>
    <n v="8000"/>
    <x v="1"/>
    <x v="1"/>
    <x v="1"/>
    <x v="0"/>
  </r>
  <r>
    <n v="1003"/>
    <x v="2"/>
    <x v="2"/>
    <x v="0"/>
    <n v="3"/>
    <n v="6000"/>
    <x v="2"/>
    <x v="2"/>
    <x v="2"/>
    <x v="0"/>
  </r>
  <r>
    <n v="1004"/>
    <x v="3"/>
    <x v="3"/>
    <x v="1"/>
    <n v="3"/>
    <n v="1500"/>
    <x v="3"/>
    <x v="3"/>
    <x v="3"/>
    <x v="0"/>
  </r>
  <r>
    <n v="1005"/>
    <x v="4"/>
    <x v="4"/>
    <x v="1"/>
    <n v="2"/>
    <n v="3000"/>
    <x v="0"/>
    <x v="0"/>
    <x v="4"/>
    <x v="0"/>
  </r>
  <r>
    <n v="1006"/>
    <x v="5"/>
    <x v="0"/>
    <x v="0"/>
    <n v="1"/>
    <n v="12000"/>
    <x v="1"/>
    <x v="1"/>
    <x v="5"/>
    <x v="0"/>
  </r>
  <r>
    <n v="1007"/>
    <x v="6"/>
    <x v="1"/>
    <x v="0"/>
    <n v="6"/>
    <n v="8000"/>
    <x v="2"/>
    <x v="2"/>
    <x v="6"/>
    <x v="0"/>
  </r>
  <r>
    <n v="1008"/>
    <x v="7"/>
    <x v="2"/>
    <x v="0"/>
    <n v="2"/>
    <n v="6000"/>
    <x v="3"/>
    <x v="3"/>
    <x v="5"/>
    <x v="0"/>
  </r>
  <r>
    <n v="1009"/>
    <x v="8"/>
    <x v="3"/>
    <x v="1"/>
    <n v="5"/>
    <n v="1500"/>
    <x v="0"/>
    <x v="0"/>
    <x v="7"/>
    <x v="1"/>
  </r>
  <r>
    <n v="1010"/>
    <x v="9"/>
    <x v="4"/>
    <x v="1"/>
    <n v="3"/>
    <n v="3000"/>
    <x v="1"/>
    <x v="1"/>
    <x v="8"/>
    <x v="1"/>
  </r>
  <r>
    <n v="1011"/>
    <x v="10"/>
    <x v="0"/>
    <x v="0"/>
    <n v="2"/>
    <n v="12000"/>
    <x v="2"/>
    <x v="2"/>
    <x v="0"/>
    <x v="1"/>
  </r>
  <r>
    <n v="1012"/>
    <x v="11"/>
    <x v="1"/>
    <x v="0"/>
    <n v="4"/>
    <n v="8000"/>
    <x v="3"/>
    <x v="3"/>
    <x v="9"/>
    <x v="1"/>
  </r>
  <r>
    <n v="1013"/>
    <x v="12"/>
    <x v="2"/>
    <x v="0"/>
    <n v="3"/>
    <n v="6000"/>
    <x v="0"/>
    <x v="0"/>
    <x v="2"/>
    <x v="1"/>
  </r>
  <r>
    <n v="1014"/>
    <x v="13"/>
    <x v="3"/>
    <x v="1"/>
    <n v="6"/>
    <n v="1500"/>
    <x v="1"/>
    <x v="1"/>
    <x v="8"/>
    <x v="1"/>
  </r>
  <r>
    <n v="1015"/>
    <x v="14"/>
    <x v="4"/>
    <x v="1"/>
    <n v="2"/>
    <n v="3000"/>
    <x v="2"/>
    <x v="2"/>
    <x v="4"/>
    <x v="1"/>
  </r>
  <r>
    <n v="1016"/>
    <x v="15"/>
    <x v="0"/>
    <x v="0"/>
    <n v="1"/>
    <n v="12000"/>
    <x v="3"/>
    <x v="3"/>
    <x v="5"/>
    <x v="1"/>
  </r>
  <r>
    <n v="1017"/>
    <x v="16"/>
    <x v="1"/>
    <x v="0"/>
    <n v="7"/>
    <n v="8000"/>
    <x v="0"/>
    <x v="0"/>
    <x v="10"/>
    <x v="1"/>
  </r>
  <r>
    <n v="1018"/>
    <x v="17"/>
    <x v="2"/>
    <x v="0"/>
    <n v="2"/>
    <n v="6000"/>
    <x v="1"/>
    <x v="1"/>
    <x v="5"/>
    <x v="1"/>
  </r>
  <r>
    <n v="1019"/>
    <x v="18"/>
    <x v="3"/>
    <x v="1"/>
    <n v="4"/>
    <n v="1500"/>
    <x v="2"/>
    <x v="2"/>
    <x v="4"/>
    <x v="1"/>
  </r>
  <r>
    <n v="1020"/>
    <x v="19"/>
    <x v="4"/>
    <x v="1"/>
    <n v="3"/>
    <n v="3000"/>
    <x v="3"/>
    <x v="3"/>
    <x v="8"/>
    <x v="1"/>
  </r>
  <r>
    <n v="1021"/>
    <x v="20"/>
    <x v="0"/>
    <x v="0"/>
    <n v="2"/>
    <n v="12000"/>
    <x v="0"/>
    <x v="0"/>
    <x v="0"/>
    <x v="2"/>
  </r>
  <r>
    <n v="1022"/>
    <x v="21"/>
    <x v="1"/>
    <x v="0"/>
    <n v="5"/>
    <n v="8000"/>
    <x v="1"/>
    <x v="1"/>
    <x v="1"/>
    <x v="2"/>
  </r>
  <r>
    <n v="1023"/>
    <x v="22"/>
    <x v="2"/>
    <x v="0"/>
    <n v="3"/>
    <n v="6000"/>
    <x v="2"/>
    <x v="2"/>
    <x v="2"/>
    <x v="2"/>
  </r>
  <r>
    <n v="1024"/>
    <x v="23"/>
    <x v="3"/>
    <x v="1"/>
    <n v="4"/>
    <n v="1500"/>
    <x v="3"/>
    <x v="3"/>
    <x v="4"/>
    <x v="2"/>
  </r>
  <r>
    <n v="1025"/>
    <x v="24"/>
    <x v="4"/>
    <x v="1"/>
    <n v="2"/>
    <n v="3000"/>
    <x v="0"/>
    <x v="0"/>
    <x v="4"/>
    <x v="2"/>
  </r>
  <r>
    <n v="1026"/>
    <x v="25"/>
    <x v="0"/>
    <x v="0"/>
    <n v="1"/>
    <n v="12000"/>
    <x v="1"/>
    <x v="1"/>
    <x v="5"/>
    <x v="2"/>
  </r>
  <r>
    <n v="1027"/>
    <x v="26"/>
    <x v="1"/>
    <x v="0"/>
    <n v="6"/>
    <n v="8000"/>
    <x v="2"/>
    <x v="2"/>
    <x v="6"/>
    <x v="2"/>
  </r>
  <r>
    <n v="1028"/>
    <x v="27"/>
    <x v="2"/>
    <x v="0"/>
    <n v="2"/>
    <n v="6000"/>
    <x v="3"/>
    <x v="3"/>
    <x v="5"/>
    <x v="2"/>
  </r>
  <r>
    <n v="1029"/>
    <x v="28"/>
    <x v="3"/>
    <x v="1"/>
    <n v="5"/>
    <n v="1500"/>
    <x v="0"/>
    <x v="0"/>
    <x v="7"/>
    <x v="2"/>
  </r>
  <r>
    <n v="1030"/>
    <x v="29"/>
    <x v="4"/>
    <x v="1"/>
    <n v="3"/>
    <n v="3000"/>
    <x v="1"/>
    <x v="1"/>
    <x v="8"/>
    <x v="2"/>
  </r>
  <r>
    <n v="1031"/>
    <x v="30"/>
    <x v="0"/>
    <x v="0"/>
    <n v="2"/>
    <n v="12000"/>
    <x v="2"/>
    <x v="2"/>
    <x v="0"/>
    <x v="2"/>
  </r>
  <r>
    <n v="1032"/>
    <x v="31"/>
    <x v="1"/>
    <x v="0"/>
    <n v="4"/>
    <n v="8000"/>
    <x v="3"/>
    <x v="3"/>
    <x v="9"/>
    <x v="2"/>
  </r>
  <r>
    <n v="1033"/>
    <x v="32"/>
    <x v="2"/>
    <x v="0"/>
    <n v="3"/>
    <n v="6000"/>
    <x v="0"/>
    <x v="0"/>
    <x v="2"/>
    <x v="2"/>
  </r>
  <r>
    <n v="1034"/>
    <x v="33"/>
    <x v="3"/>
    <x v="1"/>
    <n v="6"/>
    <n v="1500"/>
    <x v="1"/>
    <x v="1"/>
    <x v="8"/>
    <x v="2"/>
  </r>
  <r>
    <n v="1035"/>
    <x v="34"/>
    <x v="4"/>
    <x v="1"/>
    <n v="2"/>
    <n v="3000"/>
    <x v="2"/>
    <x v="2"/>
    <x v="4"/>
    <x v="2"/>
  </r>
  <r>
    <n v="1036"/>
    <x v="35"/>
    <x v="0"/>
    <x v="0"/>
    <n v="1"/>
    <n v="12000"/>
    <x v="3"/>
    <x v="3"/>
    <x v="5"/>
    <x v="3"/>
  </r>
  <r>
    <n v="1037"/>
    <x v="36"/>
    <x v="1"/>
    <x v="0"/>
    <n v="7"/>
    <n v="8000"/>
    <x v="0"/>
    <x v="0"/>
    <x v="10"/>
    <x v="3"/>
  </r>
  <r>
    <n v="1038"/>
    <x v="37"/>
    <x v="2"/>
    <x v="0"/>
    <n v="2"/>
    <n v="6000"/>
    <x v="1"/>
    <x v="1"/>
    <x v="5"/>
    <x v="3"/>
  </r>
  <r>
    <n v="1039"/>
    <x v="38"/>
    <x v="3"/>
    <x v="1"/>
    <n v="4"/>
    <n v="1500"/>
    <x v="2"/>
    <x v="2"/>
    <x v="4"/>
    <x v="3"/>
  </r>
  <r>
    <n v="1040"/>
    <x v="39"/>
    <x v="4"/>
    <x v="1"/>
    <n v="3"/>
    <n v="3000"/>
    <x v="3"/>
    <x v="3"/>
    <x v="8"/>
    <x v="3"/>
  </r>
  <r>
    <n v="1041"/>
    <x v="40"/>
    <x v="0"/>
    <x v="0"/>
    <n v="2"/>
    <n v="12000"/>
    <x v="0"/>
    <x v="0"/>
    <x v="0"/>
    <x v="3"/>
  </r>
  <r>
    <n v="1042"/>
    <x v="41"/>
    <x v="1"/>
    <x v="0"/>
    <n v="5"/>
    <n v="8000"/>
    <x v="1"/>
    <x v="1"/>
    <x v="1"/>
    <x v="3"/>
  </r>
  <r>
    <n v="1043"/>
    <x v="42"/>
    <x v="2"/>
    <x v="0"/>
    <n v="3"/>
    <n v="6000"/>
    <x v="2"/>
    <x v="2"/>
    <x v="2"/>
    <x v="3"/>
  </r>
  <r>
    <n v="1044"/>
    <x v="43"/>
    <x v="3"/>
    <x v="1"/>
    <n v="3"/>
    <n v="1500"/>
    <x v="3"/>
    <x v="3"/>
    <x v="3"/>
    <x v="3"/>
  </r>
  <r>
    <n v="1045"/>
    <x v="44"/>
    <x v="4"/>
    <x v="1"/>
    <n v="2"/>
    <n v="3000"/>
    <x v="0"/>
    <x v="0"/>
    <x v="4"/>
    <x v="3"/>
  </r>
  <r>
    <n v="1046"/>
    <x v="45"/>
    <x v="0"/>
    <x v="0"/>
    <n v="1"/>
    <n v="12000"/>
    <x v="1"/>
    <x v="1"/>
    <x v="5"/>
    <x v="3"/>
  </r>
  <r>
    <n v="1047"/>
    <x v="46"/>
    <x v="1"/>
    <x v="0"/>
    <n v="6"/>
    <n v="8000"/>
    <x v="2"/>
    <x v="2"/>
    <x v="6"/>
    <x v="3"/>
  </r>
  <r>
    <n v="1048"/>
    <x v="47"/>
    <x v="2"/>
    <x v="0"/>
    <n v="2"/>
    <n v="6000"/>
    <x v="3"/>
    <x v="3"/>
    <x v="5"/>
    <x v="3"/>
  </r>
  <r>
    <n v="1049"/>
    <x v="48"/>
    <x v="3"/>
    <x v="1"/>
    <n v="5"/>
    <n v="1500"/>
    <x v="0"/>
    <x v="0"/>
    <x v="7"/>
    <x v="3"/>
  </r>
  <r>
    <n v="1050"/>
    <x v="49"/>
    <x v="4"/>
    <x v="1"/>
    <n v="3"/>
    <n v="3000"/>
    <x v="1"/>
    <x v="1"/>
    <x v="8"/>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2E50B7-5C0C-4E9D-BBFB-ECDC5A2887F7}" name="Sales by 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1">
    <pivotField showAll="0"/>
    <pivotField numFmtId="14" showAll="0"/>
    <pivotField showAll="0"/>
    <pivotField showAll="0"/>
    <pivotField dataField="1" showAll="0"/>
    <pivotField showAll="0"/>
    <pivotField axis="axisRow" showAll="0">
      <items count="6">
        <item x="2"/>
        <item x="0"/>
        <item x="1"/>
        <item x="3"/>
        <item m="1" x="4"/>
        <item t="default"/>
      </items>
    </pivotField>
    <pivotField showAll="0"/>
    <pivotField showAll="0"/>
    <pivotField showAll="0"/>
    <pivotField dragToRow="0" dragToCol="0" dragToPage="0" showAll="0" defaultSubtotal="0"/>
  </pivotFields>
  <rowFields count="1">
    <field x="6"/>
  </rowFields>
  <rowItems count="5">
    <i>
      <x/>
    </i>
    <i>
      <x v="1"/>
    </i>
    <i>
      <x v="2"/>
    </i>
    <i>
      <x v="3"/>
    </i>
    <i t="grand">
      <x/>
    </i>
  </rowItems>
  <colItems count="1">
    <i/>
  </colItems>
  <dataFields count="1">
    <dataField name="Count of quantity"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51291E-11D9-4320-8820-3801DB46F4C8}" name="Salesperson 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7:B32" firstHeaderRow="1" firstDataRow="1" firstDataCol="1"/>
  <pivotFields count="11">
    <pivotField showAll="0"/>
    <pivotField numFmtId="14" showAll="0"/>
    <pivotField showAll="0" sortType="ascending"/>
    <pivotField showAll="0"/>
    <pivotField showAll="0"/>
    <pivotField showAll="0"/>
    <pivotField showAll="0"/>
    <pivotField axis="axisRow" showAll="0">
      <items count="5">
        <item x="2"/>
        <item x="0"/>
        <item x="1"/>
        <item x="3"/>
        <item t="default"/>
      </items>
    </pivotField>
    <pivotField dataField="1" showAll="0">
      <items count="23">
        <item m="1" x="16"/>
        <item m="1" x="13"/>
        <item m="1" x="11"/>
        <item m="1" x="20"/>
        <item m="1" x="12"/>
        <item m="1" x="14"/>
        <item m="1" x="17"/>
        <item m="1" x="21"/>
        <item m="1" x="15"/>
        <item m="1" x="18"/>
        <item m="1" x="19"/>
        <item x="0"/>
        <item x="1"/>
        <item x="2"/>
        <item x="3"/>
        <item x="4"/>
        <item x="5"/>
        <item x="6"/>
        <item x="7"/>
        <item x="8"/>
        <item x="9"/>
        <item x="10"/>
        <item t="default"/>
      </items>
    </pivotField>
    <pivotField showAll="0">
      <items count="5">
        <item x="0"/>
        <item x="1"/>
        <item x="2"/>
        <item x="3"/>
        <item t="default"/>
      </items>
    </pivotField>
    <pivotField dragToRow="0" dragToCol="0" dragToPage="0" showAll="0" defaultSubtotal="0"/>
  </pivotFields>
  <rowFields count="1">
    <field x="7"/>
  </rowFields>
  <rowItems count="5">
    <i>
      <x/>
    </i>
    <i>
      <x v="1"/>
    </i>
    <i>
      <x v="2"/>
    </i>
    <i>
      <x v="3"/>
    </i>
    <i t="grand">
      <x/>
    </i>
  </rowItems>
  <colItems count="1">
    <i/>
  </colItems>
  <dataFields count="1">
    <dataField name="Sum of revenue" fld="8" baseField="9" baseItem="0" numFmtId="165"/>
  </dataFields>
  <formats count="2">
    <format dxfId="12">
      <pivotArea dataOnly="0" labelOnly="1" outline="0" axis="axisValues" fieldPosition="0"/>
    </format>
    <format dxfId="11">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FE920DA-2A0D-40DB-A7F9-1E9016DB83F2}" name="Monthl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9:B24" firstHeaderRow="1" firstDataRow="1" firstDataCol="1"/>
  <pivotFields count="11">
    <pivotField showAll="0"/>
    <pivotField numFmtId="14" showAll="0"/>
    <pivotField showAll="0" sortType="ascending"/>
    <pivotField showAll="0"/>
    <pivotField showAll="0"/>
    <pivotField showAll="0"/>
    <pivotField showAll="0"/>
    <pivotField showAll="0"/>
    <pivotField dataField="1" showAll="0">
      <items count="23">
        <item m="1" x="16"/>
        <item m="1" x="13"/>
        <item m="1" x="11"/>
        <item m="1" x="20"/>
        <item m="1" x="12"/>
        <item m="1" x="14"/>
        <item m="1" x="17"/>
        <item m="1" x="21"/>
        <item m="1" x="15"/>
        <item m="1" x="18"/>
        <item m="1" x="19"/>
        <item x="0"/>
        <item x="1"/>
        <item x="2"/>
        <item x="3"/>
        <item x="4"/>
        <item x="5"/>
        <item x="6"/>
        <item x="7"/>
        <item x="8"/>
        <item x="9"/>
        <item x="10"/>
        <item t="default"/>
      </items>
    </pivotField>
    <pivotField axis="axisRow" showAll="0">
      <items count="5">
        <item x="0"/>
        <item x="1"/>
        <item x="2"/>
        <item x="3"/>
        <item t="default"/>
      </items>
    </pivotField>
    <pivotField dragToRow="0" dragToCol="0" dragToPage="0" showAll="0" defaultSubtotal="0"/>
  </pivotFields>
  <rowFields count="1">
    <field x="9"/>
  </rowFields>
  <rowItems count="5">
    <i>
      <x/>
    </i>
    <i>
      <x v="1"/>
    </i>
    <i>
      <x v="2"/>
    </i>
    <i>
      <x v="3"/>
    </i>
    <i t="grand">
      <x/>
    </i>
  </rowItems>
  <colItems count="1">
    <i/>
  </colItems>
  <dataFields count="1">
    <dataField name="Sum of revenue" fld="8" baseField="9" baseItem="0" numFmtId="165"/>
  </dataFields>
  <formats count="2">
    <format dxfId="14">
      <pivotArea dataOnly="0" labelOnly="1" outline="0" axis="axisValues" fieldPosition="0"/>
    </format>
    <format dxfId="13">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6A08E00-819E-42C0-B751-7665F2A20E4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B17" firstHeaderRow="1" firstDataRow="1" firstDataCol="1"/>
  <pivotFields count="11">
    <pivotField showAll="0"/>
    <pivotField numFmtId="14" showAll="0"/>
    <pivotField axis="axisRow" showAll="0" sortType="ascending">
      <items count="7">
        <item x="3"/>
        <item x="4"/>
        <item x="0"/>
        <item x="1"/>
        <item x="2"/>
        <item m="1" x="5"/>
        <item t="default"/>
      </items>
    </pivotField>
    <pivotField showAll="0"/>
    <pivotField dataField="1" showAll="0"/>
    <pivotField showAll="0"/>
    <pivotField showAll="0"/>
    <pivotField showAll="0"/>
    <pivotField showAll="0"/>
    <pivotField showAll="0"/>
    <pivotField dragToRow="0" dragToCol="0" dragToPage="0" showAll="0" defaultSubtotal="0"/>
  </pivotFields>
  <rowFields count="1">
    <field x="2"/>
  </rowFields>
  <rowItems count="6">
    <i>
      <x/>
    </i>
    <i>
      <x v="1"/>
    </i>
    <i>
      <x v="2"/>
    </i>
    <i>
      <x v="3"/>
    </i>
    <i>
      <x v="4"/>
    </i>
    <i t="grand">
      <x/>
    </i>
  </rowItems>
  <colItems count="1">
    <i/>
  </colItems>
  <dataFields count="1">
    <dataField name="Sum of quantity" fld="4" baseField="2" baseItem="0" numFmtId="1"/>
  </dataFields>
  <formats count="2">
    <format dxfId="16">
      <pivotArea dataOnly="0" labelOnly="1" outline="0" axis="axisValues" fieldPosition="0"/>
    </format>
    <format dxfId="15">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627F9E-4A2D-40A8-9E17-92E82BF11E96}"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15:B23" firstHeaderRow="1" firstDataRow="1" firstDataCol="1"/>
  <pivotFields count="11">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axis="axisRow" showAll="0" sortType="ascending">
      <items count="7">
        <item x="3"/>
        <item x="4"/>
        <item x="0"/>
        <item x="1"/>
        <item x="2"/>
        <item m="1" x="5"/>
        <item t="default"/>
      </items>
    </pivotField>
    <pivotField axis="axisRow" showAll="0">
      <items count="3">
        <item x="0"/>
        <item x="1"/>
        <item t="default"/>
      </items>
    </pivotField>
    <pivotField dataField="1" showAll="0"/>
    <pivotField showAll="0"/>
    <pivotField showAll="0">
      <items count="6">
        <item x="2"/>
        <item x="0"/>
        <item x="1"/>
        <item x="3"/>
        <item h="1" m="1" x="4"/>
        <item t="default"/>
      </items>
    </pivotField>
    <pivotField showAll="0"/>
    <pivotField showAll="0">
      <items count="23">
        <item m="1" x="16"/>
        <item m="1" x="13"/>
        <item m="1" x="11"/>
        <item m="1" x="20"/>
        <item m="1" x="12"/>
        <item m="1" x="14"/>
        <item m="1" x="17"/>
        <item m="1" x="21"/>
        <item m="1" x="15"/>
        <item m="1" x="18"/>
        <item m="1" x="19"/>
        <item x="0"/>
        <item x="1"/>
        <item x="2"/>
        <item x="3"/>
        <item x="4"/>
        <item x="5"/>
        <item x="6"/>
        <item x="7"/>
        <item x="8"/>
        <item x="9"/>
        <item x="10"/>
        <item t="default"/>
      </items>
    </pivotField>
    <pivotField showAll="0">
      <items count="5">
        <item x="0"/>
        <item x="1"/>
        <item x="2"/>
        <item x="3"/>
        <item t="default"/>
      </items>
    </pivotField>
    <pivotField dragToRow="0" dragToCol="0" dragToPage="0" showAll="0" defaultSubtotal="0"/>
  </pivotFields>
  <rowFields count="2">
    <field x="3"/>
    <field x="2"/>
  </rowFields>
  <rowItems count="8">
    <i>
      <x/>
    </i>
    <i r="1">
      <x v="2"/>
    </i>
    <i r="1">
      <x v="3"/>
    </i>
    <i r="1">
      <x v="4"/>
    </i>
    <i>
      <x v="1"/>
    </i>
    <i r="1">
      <x/>
    </i>
    <i r="1">
      <x v="1"/>
    </i>
    <i t="grand">
      <x/>
    </i>
  </rowItems>
  <colItems count="1">
    <i/>
  </colItems>
  <dataFields count="1">
    <dataField name="Sum of quantity" fld="4" baseField="0" baseItem="0"/>
  </dataFields>
  <formats count="1">
    <format dxfId="17">
      <pivotArea dataOnly="0" labelOnly="1" outline="0" axis="axisValues" fieldPosition="0"/>
    </format>
  </formats>
  <chartFormats count="6">
    <chartFormat chart="0" format="13" series="1">
      <pivotArea type="data" outline="0" fieldPosition="0">
        <references count="1">
          <reference field="4294967294" count="1" selected="0">
            <x v="0"/>
          </reference>
        </references>
      </pivotArea>
    </chartFormat>
    <chartFormat chart="0" format="14">
      <pivotArea type="data" outline="0" fieldPosition="0">
        <references count="3">
          <reference field="4294967294" count="1" selected="0">
            <x v="0"/>
          </reference>
          <reference field="2" count="1" selected="0">
            <x v="2"/>
          </reference>
          <reference field="3" count="1" selected="0">
            <x v="0"/>
          </reference>
        </references>
      </pivotArea>
    </chartFormat>
    <chartFormat chart="0" format="15">
      <pivotArea type="data" outline="0" fieldPosition="0">
        <references count="3">
          <reference field="4294967294" count="1" selected="0">
            <x v="0"/>
          </reference>
          <reference field="2" count="1" selected="0">
            <x v="3"/>
          </reference>
          <reference field="3" count="1" selected="0">
            <x v="0"/>
          </reference>
        </references>
      </pivotArea>
    </chartFormat>
    <chartFormat chart="0" format="16">
      <pivotArea type="data" outline="0" fieldPosition="0">
        <references count="3">
          <reference field="4294967294" count="1" selected="0">
            <x v="0"/>
          </reference>
          <reference field="2" count="1" selected="0">
            <x v="4"/>
          </reference>
          <reference field="3" count="1" selected="0">
            <x v="0"/>
          </reference>
        </references>
      </pivotArea>
    </chartFormat>
    <chartFormat chart="0" format="17">
      <pivotArea type="data" outline="0" fieldPosition="0">
        <references count="3">
          <reference field="4294967294" count="1" selected="0">
            <x v="0"/>
          </reference>
          <reference field="2" count="1" selected="0">
            <x v="0"/>
          </reference>
          <reference field="3" count="1" selected="0">
            <x v="1"/>
          </reference>
        </references>
      </pivotArea>
    </chartFormat>
    <chartFormat chart="0" format="18">
      <pivotArea type="data" outline="0" fieldPosition="0">
        <references count="3">
          <reference field="4294967294" count="1" selected="0">
            <x v="0"/>
          </reference>
          <reference field="2" count="1" selected="0">
            <x v="1"/>
          </reference>
          <reference field="3" count="1" selected="0">
            <x v="1"/>
          </reference>
        </references>
      </pivotArea>
    </chartFormat>
  </chartFormats>
  <pivotTableStyleInfo name="PivotStyleLight16" showRowHeaders="1" showColHeaders="1" showRowStripes="0" showColStripes="0" showLastColumn="1"/>
  <filters count="1">
    <filter fld="1" type="dateBetween" evalOrder="-1" id="56" name="date">
      <autoFilter ref="A1">
        <filterColumn colId="0">
          <customFilters and="1">
            <customFilter operator="greaterThanOrEqual" val="45292"/>
            <customFilter operator="lessThanOrEqual" val="454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C8E0B53-DFDF-4BB9-BEF1-9D9488958B24}"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8:B13" firstHeaderRow="1" firstDataRow="1" firstDataCol="1"/>
  <pivotFields count="11">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sortType="ascending"/>
    <pivotField showAll="0"/>
    <pivotField showAll="0"/>
    <pivotField showAll="0"/>
    <pivotField multipleItemSelectionAllowed="1" showAll="0">
      <items count="6">
        <item x="2"/>
        <item x="0"/>
        <item x="1"/>
        <item x="3"/>
        <item h="1" m="1" x="4"/>
        <item t="default"/>
      </items>
    </pivotField>
    <pivotField showAll="0"/>
    <pivotField dataField="1" showAll="0">
      <items count="23">
        <item m="1" x="16"/>
        <item m="1" x="13"/>
        <item m="1" x="11"/>
        <item m="1" x="20"/>
        <item m="1" x="12"/>
        <item m="1" x="14"/>
        <item m="1" x="17"/>
        <item m="1" x="21"/>
        <item m="1" x="15"/>
        <item m="1" x="18"/>
        <item m="1" x="19"/>
        <item x="0"/>
        <item x="1"/>
        <item x="2"/>
        <item x="3"/>
        <item x="4"/>
        <item x="5"/>
        <item x="6"/>
        <item x="7"/>
        <item x="8"/>
        <item x="9"/>
        <item x="10"/>
        <item t="default"/>
      </items>
    </pivotField>
    <pivotField axis="axisRow" showAll="0">
      <items count="5">
        <item x="0"/>
        <item x="1"/>
        <item x="2"/>
        <item x="3"/>
        <item t="default"/>
      </items>
    </pivotField>
    <pivotField dragToRow="0" dragToCol="0" dragToPage="0" showAll="0" defaultSubtotal="0"/>
  </pivotFields>
  <rowFields count="1">
    <field x="9"/>
  </rowFields>
  <rowItems count="5">
    <i>
      <x/>
    </i>
    <i>
      <x v="1"/>
    </i>
    <i>
      <x v="2"/>
    </i>
    <i>
      <x v="3"/>
    </i>
    <i t="grand">
      <x/>
    </i>
  </rowItems>
  <colItems count="1">
    <i/>
  </colItems>
  <dataFields count="1">
    <dataField name="Sum of revenue" fld="8" baseField="9" baseItem="0" numFmtId="165"/>
  </dataFields>
  <formats count="2">
    <format dxfId="19">
      <pivotArea dataOnly="0" labelOnly="1" outline="0" axis="axisValues" fieldPosition="0"/>
    </format>
    <format dxfId="18">
      <pivotArea outline="0" fieldPosition="0">
        <references count="1">
          <reference field="4294967294" count="1">
            <x v="0"/>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6" name="date">
      <autoFilter ref="A1">
        <filterColumn colId="0">
          <customFilters and="1">
            <customFilter operator="greaterThanOrEqual" val="45292"/>
            <customFilter operator="lessThanOrEqual" val="454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CB6F598-0206-4884-BA11-AF458FEA9674}"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
  <location ref="A1:B6" firstHeaderRow="1" firstDataRow="1" firstDataCol="1"/>
  <pivotFields count="11">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dataField="1" showAll="0"/>
    <pivotField showAll="0"/>
    <pivotField axis="axisRow" showAll="0">
      <items count="6">
        <item x="2"/>
        <item x="0"/>
        <item x="1"/>
        <item x="3"/>
        <item h="1" m="1" x="4"/>
        <item t="default"/>
      </items>
    </pivotField>
    <pivotField showAll="0"/>
    <pivotField showAll="0"/>
    <pivotField showAll="0"/>
    <pivotField dragToRow="0" dragToCol="0" dragToPage="0" showAll="0" defaultSubtotal="0"/>
  </pivotFields>
  <rowFields count="1">
    <field x="6"/>
  </rowFields>
  <rowItems count="5">
    <i>
      <x/>
    </i>
    <i>
      <x v="1"/>
    </i>
    <i>
      <x v="2"/>
    </i>
    <i>
      <x v="3"/>
    </i>
    <i t="grand">
      <x/>
    </i>
  </rowItems>
  <colItems count="1">
    <i/>
  </colItems>
  <dataFields count="1">
    <dataField name="Count of quantity" fld="4"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62" name="date">
      <autoFilter ref="A1">
        <filterColumn colId="0">
          <customFilters and="1">
            <customFilter operator="greaterThanOrEqual" val="45292"/>
            <customFilter operator="lessThanOrEqual" val="454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E55519D-E269-4C8F-B036-7EC3CC1B3689}" autoFormatId="16" applyNumberFormats="0" applyBorderFormats="0" applyFontFormats="0" applyPatternFormats="0" applyAlignmentFormats="0" applyWidthHeightFormats="0">
  <queryTableRefresh nextId="16">
    <queryTableFields count="12">
      <queryTableField id="1" name="transaction_id" tableColumnId="1"/>
      <queryTableField id="2" name="date" tableColumnId="2"/>
      <queryTableField id="3" name="product" tableColumnId="3"/>
      <queryTableField id="4" name="category" tableColumnId="4"/>
      <queryTableField id="5" dataBound="0" tableColumnId="5"/>
      <queryTableField id="11" name="quantity" tableColumnId="11"/>
      <queryTableField id="6" name="price" tableColumnId="6"/>
      <queryTableField id="7" name="region" tableColumnId="7"/>
      <queryTableField id="9" dataBound="0" tableColumnId="9"/>
      <queryTableField id="8" name="salesperson" tableColumnId="8"/>
      <queryTableField id="12" name="revenue" tableColumnId="12"/>
      <queryTableField id="10" name="month" tableColumnId="10"/>
    </queryTableFields>
    <queryTableDeletedFields count="2">
      <deletedField name="quantity"/>
      <deletedField name="revenu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3596338-38FB-4727-94E4-59D3E743DB92}" sourceName="region">
  <pivotTables>
    <pivotTable tabId="4" name="PivotTable5"/>
    <pivotTable tabId="4" name="PivotTable6"/>
    <pivotTable tabId="4" name="PivotTable7"/>
  </pivotTables>
  <data>
    <tabular pivotCacheId="993341630">
      <items count="5">
        <i x="2" s="1"/>
        <i x="0" s="1"/>
        <i x="1" s="1"/>
        <i x="3" s="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933F7ED-8454-46D1-A564-1111B2FB0074}" cache="Slicer_region" caption="region"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DF2F37-1B57-45CE-952C-F6AD8F63CA18}" name="clean_sales" displayName="clean_sales" ref="A1:L51" tableType="queryTable" totalsRowShown="0">
  <autoFilter ref="A1:L51" xr:uid="{3FDF2F37-1B57-45CE-952C-F6AD8F63CA18}"/>
  <tableColumns count="12">
    <tableColumn id="1" xr3:uid="{E1672390-933B-4771-B659-34F099B9A4B5}" uniqueName="1" name="transaction_id" queryTableFieldId="1"/>
    <tableColumn id="2" xr3:uid="{65CAAAB0-1DFB-4D20-A2C4-05CEB53A53B8}" uniqueName="2" name="date" queryTableFieldId="2" dataDxfId="4"/>
    <tableColumn id="3" xr3:uid="{184F97B6-811A-47EC-9B84-71AD6EEFB8B5}" uniqueName="3" name="product" queryTableFieldId="3" dataDxfId="10"/>
    <tableColumn id="4" xr3:uid="{6CA202C7-D1CC-4C8E-804A-C94E81E38437}" uniqueName="4" name="category" queryTableFieldId="4" dataDxfId="9"/>
    <tableColumn id="5" xr3:uid="{B07C5A69-ACC0-4B56-A177-39E4E5EA29B0}" uniqueName="5" name="quantity" queryTableFieldId="5" dataDxfId="8"/>
    <tableColumn id="11" xr3:uid="{844A5856-BBA2-4CCB-9EC2-7894F1DD03B7}" uniqueName="11" name="quantity2" queryTableFieldId="11" dataDxfId="3"/>
    <tableColumn id="6" xr3:uid="{73209F8A-C34A-47B8-A811-4DCC7925850E}" uniqueName="6" name="price" queryTableFieldId="6" dataDxfId="2"/>
    <tableColumn id="7" xr3:uid="{6D302E4D-B7DB-4648-A689-188B1F419166}" uniqueName="7" name="region" queryTableFieldId="7" dataDxfId="7"/>
    <tableColumn id="9" xr3:uid="{1C858CCC-4FBC-49DA-A688-8E076ED80610}" uniqueName="9" name="revenue" queryTableFieldId="9" dataDxfId="1"/>
    <tableColumn id="8" xr3:uid="{1ED0AC75-7BD9-4C1F-9705-D62254BF6D72}" uniqueName="8" name="salesperson" queryTableFieldId="8" dataDxfId="6"/>
    <tableColumn id="12" xr3:uid="{D85BD04F-C63D-4308-AB44-8D487D5F9A00}" uniqueName="12" name="revenue3" queryTableFieldId="12" dataDxfId="0"/>
    <tableColumn id="10" xr3:uid="{C16150FA-8885-4001-AE7C-7AB229F7F1EB}" uniqueName="10" name="month" queryTableFieldId="10"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33EA2A30-456A-4708-BF6A-EDC3F919A97B}" sourceName="date">
  <pivotTables>
    <pivotTable tabId="4" name="PivotTable5"/>
    <pivotTable tabId="4" name="PivotTable6"/>
    <pivotTable tabId="4" name="PivotTable7"/>
  </pivotTables>
  <state minimalRefreshVersion="6" lastRefreshVersion="6" pivotCacheId="993341630" filterType="dateBetween">
    <selection startDate="2024-01-01T00:00:00" endDate="2024-06-30T00:00:00"/>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7DB0D497-437B-4C18-8436-542F03EB495F}" cache="NativeTimeline_date" caption="date" level="2" selectionLevel="1" scrollPosition="2024-01-01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microsoft.com/office/2011/relationships/timeline" Target="../timelines/timeline1.xml"/><Relationship Id="rId5" Type="http://schemas.microsoft.com/office/2007/relationships/slicer" Target="../slicers/slicer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EC5C1-B187-4883-95AD-B1BB9B5BABCD}">
  <dimension ref="A3:B32"/>
  <sheetViews>
    <sheetView tabSelected="1" zoomScaleNormal="100" workbookViewId="0">
      <selection activeCell="I14" sqref="I14"/>
    </sheetView>
  </sheetViews>
  <sheetFormatPr defaultRowHeight="15" x14ac:dyDescent="0.25"/>
  <cols>
    <col min="1" max="1" width="13.140625" bestFit="1" customWidth="1"/>
    <col min="2" max="2" width="16.5703125" bestFit="1" customWidth="1"/>
    <col min="3" max="6" width="6" bestFit="1" customWidth="1"/>
    <col min="7" max="7" width="5" bestFit="1" customWidth="1"/>
    <col min="8" max="9" width="6" bestFit="1" customWidth="1"/>
    <col min="10" max="12" width="5" bestFit="1" customWidth="1"/>
    <col min="13" max="13" width="11.28515625" bestFit="1" customWidth="1"/>
  </cols>
  <sheetData>
    <row r="3" spans="1:2" x14ac:dyDescent="0.25">
      <c r="A3" s="2" t="s">
        <v>29</v>
      </c>
      <c r="B3" t="s">
        <v>31</v>
      </c>
    </row>
    <row r="4" spans="1:2" x14ac:dyDescent="0.25">
      <c r="A4" s="3" t="s">
        <v>19</v>
      </c>
      <c r="B4">
        <v>12</v>
      </c>
    </row>
    <row r="5" spans="1:2" x14ac:dyDescent="0.25">
      <c r="A5" s="3" t="s">
        <v>12</v>
      </c>
      <c r="B5">
        <v>13</v>
      </c>
    </row>
    <row r="6" spans="1:2" x14ac:dyDescent="0.25">
      <c r="A6" s="3" t="s">
        <v>16</v>
      </c>
      <c r="B6">
        <v>13</v>
      </c>
    </row>
    <row r="7" spans="1:2" x14ac:dyDescent="0.25">
      <c r="A7" s="3" t="s">
        <v>23</v>
      </c>
      <c r="B7">
        <v>12</v>
      </c>
    </row>
    <row r="8" spans="1:2" x14ac:dyDescent="0.25">
      <c r="A8" s="3" t="s">
        <v>30</v>
      </c>
      <c r="B8">
        <v>50</v>
      </c>
    </row>
    <row r="11" spans="1:2" x14ac:dyDescent="0.25">
      <c r="A11" s="2" t="s">
        <v>29</v>
      </c>
      <c r="B11" s="7" t="s">
        <v>32</v>
      </c>
    </row>
    <row r="12" spans="1:2" x14ac:dyDescent="0.25">
      <c r="A12" s="3" t="s">
        <v>21</v>
      </c>
      <c r="B12" s="7">
        <v>45</v>
      </c>
    </row>
    <row r="13" spans="1:2" x14ac:dyDescent="0.25">
      <c r="A13" s="3" t="s">
        <v>25</v>
      </c>
      <c r="B13" s="7">
        <v>25</v>
      </c>
    </row>
    <row r="14" spans="1:2" x14ac:dyDescent="0.25">
      <c r="A14" s="3" t="s">
        <v>10</v>
      </c>
      <c r="B14" s="7">
        <v>15</v>
      </c>
    </row>
    <row r="15" spans="1:2" x14ac:dyDescent="0.25">
      <c r="A15" s="3" t="s">
        <v>15</v>
      </c>
      <c r="B15" s="7">
        <v>55</v>
      </c>
    </row>
    <row r="16" spans="1:2" x14ac:dyDescent="0.25">
      <c r="A16" s="3" t="s">
        <v>18</v>
      </c>
      <c r="B16" s="7">
        <v>25</v>
      </c>
    </row>
    <row r="17" spans="1:2" x14ac:dyDescent="0.25">
      <c r="A17" s="3" t="s">
        <v>30</v>
      </c>
      <c r="B17" s="7">
        <v>165</v>
      </c>
    </row>
    <row r="19" spans="1:2" x14ac:dyDescent="0.25">
      <c r="A19" s="2" t="s">
        <v>29</v>
      </c>
      <c r="B19" s="7" t="s">
        <v>33</v>
      </c>
    </row>
    <row r="20" spans="1:2" x14ac:dyDescent="0.25">
      <c r="A20" s="3" t="s">
        <v>14</v>
      </c>
      <c r="B20" s="6">
        <v>164500</v>
      </c>
    </row>
    <row r="21" spans="1:2" x14ac:dyDescent="0.25">
      <c r="A21" s="3" t="s">
        <v>26</v>
      </c>
      <c r="B21" s="6">
        <v>200500</v>
      </c>
    </row>
    <row r="22" spans="1:2" x14ac:dyDescent="0.25">
      <c r="A22" s="3" t="s">
        <v>27</v>
      </c>
      <c r="B22" s="6">
        <v>271500</v>
      </c>
    </row>
    <row r="23" spans="1:2" x14ac:dyDescent="0.25">
      <c r="A23" s="3" t="s">
        <v>28</v>
      </c>
      <c r="B23" s="6">
        <v>276000</v>
      </c>
    </row>
    <row r="24" spans="1:2" x14ac:dyDescent="0.25">
      <c r="A24" s="3" t="s">
        <v>30</v>
      </c>
      <c r="B24" s="6">
        <v>912500</v>
      </c>
    </row>
    <row r="27" spans="1:2" x14ac:dyDescent="0.25">
      <c r="A27" s="2" t="s">
        <v>29</v>
      </c>
      <c r="B27" s="7" t="s">
        <v>33</v>
      </c>
    </row>
    <row r="28" spans="1:2" x14ac:dyDescent="0.25">
      <c r="A28" s="3" t="s">
        <v>20</v>
      </c>
      <c r="B28" s="6">
        <v>270000</v>
      </c>
    </row>
    <row r="29" spans="1:2" x14ac:dyDescent="0.25">
      <c r="A29" s="3" t="s">
        <v>13</v>
      </c>
      <c r="B29" s="6">
        <v>260500</v>
      </c>
    </row>
    <row r="30" spans="1:2" x14ac:dyDescent="0.25">
      <c r="A30" s="3" t="s">
        <v>17</v>
      </c>
      <c r="B30" s="6">
        <v>225000</v>
      </c>
    </row>
    <row r="31" spans="1:2" x14ac:dyDescent="0.25">
      <c r="A31" s="3" t="s">
        <v>24</v>
      </c>
      <c r="B31" s="6">
        <v>157000</v>
      </c>
    </row>
    <row r="32" spans="1:2" x14ac:dyDescent="0.25">
      <c r="A32" s="3" t="s">
        <v>30</v>
      </c>
      <c r="B32" s="6">
        <v>912500</v>
      </c>
    </row>
  </sheetData>
  <pageMargins left="0.7" right="0.7" top="0.75" bottom="0.75" header="0.3" footer="0.3"/>
  <pageSetup paperSize="9"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523A2-1745-41C9-ACB8-21A648196CC4}">
  <dimension ref="A1:B23"/>
  <sheetViews>
    <sheetView showGridLines="0" topLeftCell="C1" zoomScaleNormal="100" workbookViewId="0">
      <selection activeCell="AD19" sqref="AD19"/>
    </sheetView>
  </sheetViews>
  <sheetFormatPr defaultRowHeight="15" x14ac:dyDescent="0.25"/>
  <cols>
    <col min="1" max="1" width="13.28515625" hidden="1" customWidth="1"/>
    <col min="2" max="2" width="15.140625" hidden="1" customWidth="1"/>
  </cols>
  <sheetData>
    <row r="1" spans="1:2" x14ac:dyDescent="0.25">
      <c r="A1" s="2" t="s">
        <v>29</v>
      </c>
      <c r="B1" t="s">
        <v>31</v>
      </c>
    </row>
    <row r="2" spans="1:2" x14ac:dyDescent="0.25">
      <c r="A2" s="3" t="s">
        <v>19</v>
      </c>
      <c r="B2">
        <v>12</v>
      </c>
    </row>
    <row r="3" spans="1:2" x14ac:dyDescent="0.25">
      <c r="A3" s="3" t="s">
        <v>12</v>
      </c>
      <c r="B3">
        <v>13</v>
      </c>
    </row>
    <row r="4" spans="1:2" x14ac:dyDescent="0.25">
      <c r="A4" s="3" t="s">
        <v>16</v>
      </c>
      <c r="B4">
        <v>13</v>
      </c>
    </row>
    <row r="5" spans="1:2" x14ac:dyDescent="0.25">
      <c r="A5" s="3" t="s">
        <v>23</v>
      </c>
      <c r="B5">
        <v>12</v>
      </c>
    </row>
    <row r="6" spans="1:2" x14ac:dyDescent="0.25">
      <c r="A6" s="3" t="s">
        <v>30</v>
      </c>
      <c r="B6">
        <v>50</v>
      </c>
    </row>
    <row r="8" spans="1:2" x14ac:dyDescent="0.25">
      <c r="A8" s="2" t="s">
        <v>29</v>
      </c>
      <c r="B8" s="7" t="s">
        <v>33</v>
      </c>
    </row>
    <row r="9" spans="1:2" x14ac:dyDescent="0.25">
      <c r="A9" s="3" t="s">
        <v>14</v>
      </c>
      <c r="B9" s="6">
        <v>164500</v>
      </c>
    </row>
    <row r="10" spans="1:2" x14ac:dyDescent="0.25">
      <c r="A10" s="3" t="s">
        <v>26</v>
      </c>
      <c r="B10" s="6">
        <v>200500</v>
      </c>
    </row>
    <row r="11" spans="1:2" x14ac:dyDescent="0.25">
      <c r="A11" s="3" t="s">
        <v>27</v>
      </c>
      <c r="B11" s="6">
        <v>271500</v>
      </c>
    </row>
    <row r="12" spans="1:2" x14ac:dyDescent="0.25">
      <c r="A12" s="3" t="s">
        <v>28</v>
      </c>
      <c r="B12" s="6">
        <v>276000</v>
      </c>
    </row>
    <row r="13" spans="1:2" x14ac:dyDescent="0.25">
      <c r="A13" s="3" t="s">
        <v>30</v>
      </c>
      <c r="B13" s="6">
        <v>912500</v>
      </c>
    </row>
    <row r="15" spans="1:2" x14ac:dyDescent="0.25">
      <c r="A15" s="2" t="s">
        <v>29</v>
      </c>
      <c r="B15" s="7" t="s">
        <v>32</v>
      </c>
    </row>
    <row r="16" spans="1:2" x14ac:dyDescent="0.25">
      <c r="A16" s="3" t="s">
        <v>11</v>
      </c>
      <c r="B16">
        <v>95</v>
      </c>
    </row>
    <row r="17" spans="1:2" x14ac:dyDescent="0.25">
      <c r="A17" s="4" t="s">
        <v>10</v>
      </c>
      <c r="B17">
        <v>15</v>
      </c>
    </row>
    <row r="18" spans="1:2" x14ac:dyDescent="0.25">
      <c r="A18" s="4" t="s">
        <v>15</v>
      </c>
      <c r="B18">
        <v>55</v>
      </c>
    </row>
    <row r="19" spans="1:2" x14ac:dyDescent="0.25">
      <c r="A19" s="4" t="s">
        <v>18</v>
      </c>
      <c r="B19">
        <v>25</v>
      </c>
    </row>
    <row r="20" spans="1:2" x14ac:dyDescent="0.25">
      <c r="A20" s="3" t="s">
        <v>22</v>
      </c>
      <c r="B20">
        <v>70</v>
      </c>
    </row>
    <row r="21" spans="1:2" x14ac:dyDescent="0.25">
      <c r="A21" s="4" t="s">
        <v>21</v>
      </c>
      <c r="B21">
        <v>45</v>
      </c>
    </row>
    <row r="22" spans="1:2" x14ac:dyDescent="0.25">
      <c r="A22" s="4" t="s">
        <v>25</v>
      </c>
      <c r="B22">
        <v>25</v>
      </c>
    </row>
    <row r="23" spans="1:2" x14ac:dyDescent="0.25">
      <c r="A23" s="3" t="s">
        <v>30</v>
      </c>
      <c r="B23">
        <v>165</v>
      </c>
    </row>
  </sheetData>
  <pageMargins left="0.7" right="0.7" top="0.75" bottom="0.75" header="0.3" footer="0.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0D638-3950-44DF-AC82-E4736AB7C285}">
  <dimension ref="A1:O51"/>
  <sheetViews>
    <sheetView workbookViewId="0">
      <selection activeCell="E6" sqref="E6"/>
    </sheetView>
  </sheetViews>
  <sheetFormatPr defaultRowHeight="15" x14ac:dyDescent="0.25"/>
  <cols>
    <col min="1" max="1" width="16" bestFit="1" customWidth="1"/>
    <col min="2" max="2" width="10.7109375" style="1" bestFit="1" customWidth="1"/>
    <col min="3" max="3" width="10.140625" bestFit="1" customWidth="1"/>
    <col min="4" max="4" width="10.85546875" bestFit="1" customWidth="1"/>
    <col min="5" max="5" width="10.7109375" style="5" bestFit="1" customWidth="1"/>
    <col min="6" max="6" width="11.7109375" style="6" bestFit="1" customWidth="1"/>
    <col min="7" max="7" width="10.140625" bestFit="1" customWidth="1"/>
    <col min="8" max="8" width="9" bestFit="1" customWidth="1"/>
    <col min="9" max="9" width="10.7109375" style="6" bestFit="1" customWidth="1"/>
    <col min="10" max="10" width="13.85546875" bestFit="1" customWidth="1"/>
    <col min="11" max="11" width="11.7109375" bestFit="1" customWidth="1"/>
  </cols>
  <sheetData>
    <row r="1" spans="1:15" x14ac:dyDescent="0.25">
      <c r="A1" t="s">
        <v>0</v>
      </c>
      <c r="B1" t="s">
        <v>1</v>
      </c>
      <c r="C1" t="s">
        <v>2</v>
      </c>
      <c r="D1" t="s">
        <v>3</v>
      </c>
      <c r="E1" t="s">
        <v>4</v>
      </c>
      <c r="F1" t="s">
        <v>52</v>
      </c>
      <c r="G1" s="6" t="s">
        <v>5</v>
      </c>
      <c r="H1" t="s">
        <v>6</v>
      </c>
      <c r="I1" s="6" t="s">
        <v>8</v>
      </c>
      <c r="J1" t="s">
        <v>7</v>
      </c>
      <c r="K1" t="s">
        <v>53</v>
      </c>
      <c r="L1" t="s">
        <v>9</v>
      </c>
    </row>
    <row r="2" spans="1:15" x14ac:dyDescent="0.25">
      <c r="A2">
        <v>1001</v>
      </c>
      <c r="B2" s="1">
        <v>45296</v>
      </c>
      <c r="C2" t="s">
        <v>10</v>
      </c>
      <c r="D2" t="s">
        <v>11</v>
      </c>
      <c r="E2">
        <v>2</v>
      </c>
      <c r="F2" s="8" t="s">
        <v>34</v>
      </c>
      <c r="G2" s="6">
        <v>12000</v>
      </c>
      <c r="H2" t="s">
        <v>12</v>
      </c>
      <c r="I2" s="6">
        <v>24000</v>
      </c>
      <c r="J2" t="s">
        <v>13</v>
      </c>
      <c r="K2" s="8" t="s">
        <v>35</v>
      </c>
      <c r="L2" t="s">
        <v>14</v>
      </c>
    </row>
    <row r="3" spans="1:15" x14ac:dyDescent="0.25">
      <c r="A3">
        <v>1002</v>
      </c>
      <c r="B3" s="1">
        <v>45298</v>
      </c>
      <c r="C3" t="s">
        <v>15</v>
      </c>
      <c r="D3" t="s">
        <v>11</v>
      </c>
      <c r="E3">
        <v>5</v>
      </c>
      <c r="F3" s="8" t="s">
        <v>36</v>
      </c>
      <c r="G3" s="6">
        <v>8000</v>
      </c>
      <c r="H3" t="s">
        <v>16</v>
      </c>
      <c r="I3" s="6">
        <v>40000</v>
      </c>
      <c r="J3" t="s">
        <v>17</v>
      </c>
      <c r="K3" s="8" t="s">
        <v>37</v>
      </c>
      <c r="L3" t="s">
        <v>14</v>
      </c>
    </row>
    <row r="4" spans="1:15" x14ac:dyDescent="0.25">
      <c r="A4">
        <v>1003</v>
      </c>
      <c r="B4" s="1">
        <v>45301</v>
      </c>
      <c r="C4" t="s">
        <v>18</v>
      </c>
      <c r="D4" t="s">
        <v>11</v>
      </c>
      <c r="E4">
        <v>3</v>
      </c>
      <c r="F4" s="8" t="s">
        <v>38</v>
      </c>
      <c r="G4" s="6">
        <v>6000</v>
      </c>
      <c r="H4" t="s">
        <v>19</v>
      </c>
      <c r="I4" s="6">
        <v>18000</v>
      </c>
      <c r="J4" t="s">
        <v>20</v>
      </c>
      <c r="K4" s="8" t="s">
        <v>39</v>
      </c>
      <c r="L4" t="s">
        <v>14</v>
      </c>
    </row>
    <row r="5" spans="1:15" x14ac:dyDescent="0.25">
      <c r="A5">
        <v>1004</v>
      </c>
      <c r="B5" s="1">
        <v>45306</v>
      </c>
      <c r="C5" t="s">
        <v>21</v>
      </c>
      <c r="D5" t="s">
        <v>22</v>
      </c>
      <c r="E5">
        <v>3</v>
      </c>
      <c r="F5" s="8" t="s">
        <v>38</v>
      </c>
      <c r="G5" s="6">
        <v>1500</v>
      </c>
      <c r="H5" t="s">
        <v>23</v>
      </c>
      <c r="I5" s="6">
        <v>4500</v>
      </c>
      <c r="J5" t="s">
        <v>24</v>
      </c>
      <c r="K5" s="8" t="s">
        <v>40</v>
      </c>
      <c r="L5" t="s">
        <v>14</v>
      </c>
    </row>
    <row r="6" spans="1:15" x14ac:dyDescent="0.25">
      <c r="A6">
        <v>1005</v>
      </c>
      <c r="B6" s="1">
        <v>45311</v>
      </c>
      <c r="C6" t="s">
        <v>25</v>
      </c>
      <c r="D6" t="s">
        <v>22</v>
      </c>
      <c r="E6">
        <v>2</v>
      </c>
      <c r="F6" s="8" t="s">
        <v>34</v>
      </c>
      <c r="G6" s="6">
        <v>3000</v>
      </c>
      <c r="H6" t="s">
        <v>12</v>
      </c>
      <c r="I6" s="6">
        <v>6000</v>
      </c>
      <c r="J6" t="s">
        <v>13</v>
      </c>
      <c r="K6" s="8" t="s">
        <v>41</v>
      </c>
      <c r="L6" t="s">
        <v>14</v>
      </c>
    </row>
    <row r="7" spans="1:15" x14ac:dyDescent="0.25">
      <c r="A7">
        <v>1006</v>
      </c>
      <c r="B7" s="1">
        <v>45313</v>
      </c>
      <c r="C7" t="s">
        <v>10</v>
      </c>
      <c r="D7" t="s">
        <v>11</v>
      </c>
      <c r="E7">
        <v>1</v>
      </c>
      <c r="F7" s="8" t="s">
        <v>42</v>
      </c>
      <c r="G7" s="6">
        <v>12000</v>
      </c>
      <c r="H7" t="s">
        <v>16</v>
      </c>
      <c r="I7" s="6">
        <v>12000</v>
      </c>
      <c r="J7" t="s">
        <v>17</v>
      </c>
      <c r="K7" s="8" t="s">
        <v>43</v>
      </c>
      <c r="L7" t="s">
        <v>14</v>
      </c>
    </row>
    <row r="8" spans="1:15" x14ac:dyDescent="0.25">
      <c r="A8">
        <v>1007</v>
      </c>
      <c r="B8" s="1">
        <v>45316</v>
      </c>
      <c r="C8" t="s">
        <v>15</v>
      </c>
      <c r="D8" t="s">
        <v>11</v>
      </c>
      <c r="E8">
        <v>6</v>
      </c>
      <c r="F8" s="8" t="s">
        <v>44</v>
      </c>
      <c r="G8" s="6">
        <v>8000</v>
      </c>
      <c r="H8" t="s">
        <v>19</v>
      </c>
      <c r="I8" s="6">
        <v>48000</v>
      </c>
      <c r="J8" t="s">
        <v>20</v>
      </c>
      <c r="K8" s="8" t="s">
        <v>45</v>
      </c>
      <c r="L8" t="s">
        <v>14</v>
      </c>
    </row>
    <row r="9" spans="1:15" x14ac:dyDescent="0.25">
      <c r="A9">
        <v>1008</v>
      </c>
      <c r="B9" s="1">
        <v>45319</v>
      </c>
      <c r="C9" t="s">
        <v>18</v>
      </c>
      <c r="D9" t="s">
        <v>11</v>
      </c>
      <c r="E9">
        <v>2</v>
      </c>
      <c r="F9" s="8" t="s">
        <v>34</v>
      </c>
      <c r="G9" s="6">
        <v>6000</v>
      </c>
      <c r="H9" t="s">
        <v>23</v>
      </c>
      <c r="I9" s="6">
        <v>12000</v>
      </c>
      <c r="J9" t="s">
        <v>24</v>
      </c>
      <c r="K9" s="8" t="s">
        <v>43</v>
      </c>
      <c r="L9" t="s">
        <v>14</v>
      </c>
    </row>
    <row r="10" spans="1:15" x14ac:dyDescent="0.25">
      <c r="A10">
        <v>1009</v>
      </c>
      <c r="B10" s="1">
        <v>45323</v>
      </c>
      <c r="C10" t="s">
        <v>21</v>
      </c>
      <c r="D10" t="s">
        <v>22</v>
      </c>
      <c r="E10">
        <v>5</v>
      </c>
      <c r="F10" s="8" t="s">
        <v>36</v>
      </c>
      <c r="G10" s="6">
        <v>1500</v>
      </c>
      <c r="H10" t="s">
        <v>12</v>
      </c>
      <c r="I10" s="6">
        <v>7500</v>
      </c>
      <c r="J10" t="s">
        <v>13</v>
      </c>
      <c r="K10" s="8" t="s">
        <v>46</v>
      </c>
      <c r="L10" t="s">
        <v>26</v>
      </c>
    </row>
    <row r="11" spans="1:15" x14ac:dyDescent="0.25">
      <c r="A11">
        <v>1010</v>
      </c>
      <c r="B11" s="1">
        <v>45325</v>
      </c>
      <c r="C11" t="s">
        <v>25</v>
      </c>
      <c r="D11" t="s">
        <v>22</v>
      </c>
      <c r="E11">
        <v>3</v>
      </c>
      <c r="F11" s="8" t="s">
        <v>38</v>
      </c>
      <c r="G11" s="6">
        <v>3000</v>
      </c>
      <c r="H11" t="s">
        <v>16</v>
      </c>
      <c r="I11" s="6">
        <v>9000</v>
      </c>
      <c r="J11" t="s">
        <v>17</v>
      </c>
      <c r="K11" s="8" t="s">
        <v>47</v>
      </c>
      <c r="L11" t="s">
        <v>26</v>
      </c>
    </row>
    <row r="12" spans="1:15" x14ac:dyDescent="0.25">
      <c r="A12">
        <v>1011</v>
      </c>
      <c r="B12" s="1">
        <v>45327</v>
      </c>
      <c r="C12" t="s">
        <v>10</v>
      </c>
      <c r="D12" t="s">
        <v>11</v>
      </c>
      <c r="E12">
        <v>2</v>
      </c>
      <c r="F12" s="8" t="s">
        <v>34</v>
      </c>
      <c r="G12" s="6">
        <v>12000</v>
      </c>
      <c r="H12" t="s">
        <v>19</v>
      </c>
      <c r="I12" s="6">
        <v>24000</v>
      </c>
      <c r="J12" t="s">
        <v>20</v>
      </c>
      <c r="K12" s="8" t="s">
        <v>35</v>
      </c>
      <c r="L12" t="s">
        <v>26</v>
      </c>
    </row>
    <row r="13" spans="1:15" x14ac:dyDescent="0.25">
      <c r="A13">
        <v>1012</v>
      </c>
      <c r="B13" s="1">
        <v>45329</v>
      </c>
      <c r="C13" t="s">
        <v>15</v>
      </c>
      <c r="D13" t="s">
        <v>11</v>
      </c>
      <c r="E13">
        <v>4</v>
      </c>
      <c r="F13" s="8" t="s">
        <v>48</v>
      </c>
      <c r="G13" s="6">
        <v>8000</v>
      </c>
      <c r="H13" t="s">
        <v>23</v>
      </c>
      <c r="I13" s="6">
        <v>32000</v>
      </c>
      <c r="J13" t="s">
        <v>24</v>
      </c>
      <c r="K13" s="8" t="s">
        <v>49</v>
      </c>
      <c r="L13" t="s">
        <v>26</v>
      </c>
    </row>
    <row r="14" spans="1:15" x14ac:dyDescent="0.25">
      <c r="A14">
        <v>1013</v>
      </c>
      <c r="B14" s="1">
        <v>45332</v>
      </c>
      <c r="C14" t="s">
        <v>18</v>
      </c>
      <c r="D14" t="s">
        <v>11</v>
      </c>
      <c r="E14">
        <v>3</v>
      </c>
      <c r="F14" s="8" t="s">
        <v>38</v>
      </c>
      <c r="G14" s="6">
        <v>6000</v>
      </c>
      <c r="H14" t="s">
        <v>12</v>
      </c>
      <c r="I14" s="6">
        <v>18000</v>
      </c>
      <c r="J14" t="s">
        <v>13</v>
      </c>
      <c r="K14" s="8" t="s">
        <v>39</v>
      </c>
      <c r="L14" t="s">
        <v>26</v>
      </c>
    </row>
    <row r="15" spans="1:15" x14ac:dyDescent="0.25">
      <c r="A15">
        <v>1014</v>
      </c>
      <c r="B15" s="1">
        <v>45334</v>
      </c>
      <c r="C15" t="s">
        <v>21</v>
      </c>
      <c r="D15" t="s">
        <v>22</v>
      </c>
      <c r="E15">
        <v>6</v>
      </c>
      <c r="F15" s="8" t="s">
        <v>44</v>
      </c>
      <c r="G15" s="6">
        <v>1500</v>
      </c>
      <c r="H15" t="s">
        <v>16</v>
      </c>
      <c r="I15" s="6">
        <v>9000</v>
      </c>
      <c r="J15" t="s">
        <v>17</v>
      </c>
      <c r="K15" s="8" t="s">
        <v>47</v>
      </c>
      <c r="L15" t="s">
        <v>26</v>
      </c>
    </row>
    <row r="16" spans="1:15" x14ac:dyDescent="0.25">
      <c r="A16">
        <v>1015</v>
      </c>
      <c r="B16" s="1">
        <v>45337</v>
      </c>
      <c r="C16" t="s">
        <v>25</v>
      </c>
      <c r="D16" t="s">
        <v>22</v>
      </c>
      <c r="E16">
        <v>2</v>
      </c>
      <c r="F16" s="8" t="s">
        <v>34</v>
      </c>
      <c r="G16" s="6">
        <v>3000</v>
      </c>
      <c r="H16" t="s">
        <v>19</v>
      </c>
      <c r="I16" s="6">
        <v>6000</v>
      </c>
      <c r="J16" t="s">
        <v>20</v>
      </c>
      <c r="K16" s="8" t="s">
        <v>41</v>
      </c>
      <c r="L16" t="s">
        <v>26</v>
      </c>
      <c r="O16">
        <v>1</v>
      </c>
    </row>
    <row r="17" spans="1:12" x14ac:dyDescent="0.25">
      <c r="A17">
        <v>1016</v>
      </c>
      <c r="B17" s="1">
        <v>45340</v>
      </c>
      <c r="C17" t="s">
        <v>10</v>
      </c>
      <c r="D17" t="s">
        <v>11</v>
      </c>
      <c r="E17">
        <v>1</v>
      </c>
      <c r="F17" s="8" t="s">
        <v>42</v>
      </c>
      <c r="G17" s="6">
        <v>12000</v>
      </c>
      <c r="H17" t="s">
        <v>23</v>
      </c>
      <c r="I17" s="6">
        <v>12000</v>
      </c>
      <c r="J17" t="s">
        <v>24</v>
      </c>
      <c r="K17" s="8" t="s">
        <v>43</v>
      </c>
      <c r="L17" t="s">
        <v>26</v>
      </c>
    </row>
    <row r="18" spans="1:12" x14ac:dyDescent="0.25">
      <c r="A18">
        <v>1017</v>
      </c>
      <c r="B18" s="1">
        <v>45342</v>
      </c>
      <c r="C18" t="s">
        <v>15</v>
      </c>
      <c r="D18" t="s">
        <v>11</v>
      </c>
      <c r="E18">
        <v>7</v>
      </c>
      <c r="F18" s="8" t="s">
        <v>50</v>
      </c>
      <c r="G18" s="6">
        <v>8000</v>
      </c>
      <c r="H18" t="s">
        <v>12</v>
      </c>
      <c r="I18" s="6">
        <v>56000</v>
      </c>
      <c r="J18" t="s">
        <v>13</v>
      </c>
      <c r="K18" s="8" t="s">
        <v>51</v>
      </c>
      <c r="L18" t="s">
        <v>26</v>
      </c>
    </row>
    <row r="19" spans="1:12" x14ac:dyDescent="0.25">
      <c r="A19">
        <v>1018</v>
      </c>
      <c r="B19" s="1">
        <v>45344</v>
      </c>
      <c r="C19" t="s">
        <v>18</v>
      </c>
      <c r="D19" t="s">
        <v>11</v>
      </c>
      <c r="E19">
        <v>2</v>
      </c>
      <c r="F19" s="8" t="s">
        <v>34</v>
      </c>
      <c r="G19" s="6">
        <v>6000</v>
      </c>
      <c r="H19" t="s">
        <v>16</v>
      </c>
      <c r="I19" s="6">
        <v>12000</v>
      </c>
      <c r="J19" t="s">
        <v>17</v>
      </c>
      <c r="K19" s="8" t="s">
        <v>43</v>
      </c>
      <c r="L19" t="s">
        <v>26</v>
      </c>
    </row>
    <row r="20" spans="1:12" x14ac:dyDescent="0.25">
      <c r="A20">
        <v>1019</v>
      </c>
      <c r="B20" s="1">
        <v>45347</v>
      </c>
      <c r="C20" t="s">
        <v>21</v>
      </c>
      <c r="D20" t="s">
        <v>22</v>
      </c>
      <c r="E20">
        <v>4</v>
      </c>
      <c r="F20" s="8" t="s">
        <v>48</v>
      </c>
      <c r="G20" s="6">
        <v>1500</v>
      </c>
      <c r="H20" t="s">
        <v>19</v>
      </c>
      <c r="I20" s="6">
        <v>6000</v>
      </c>
      <c r="J20" t="s">
        <v>20</v>
      </c>
      <c r="K20" s="8" t="s">
        <v>41</v>
      </c>
      <c r="L20" t="s">
        <v>26</v>
      </c>
    </row>
    <row r="21" spans="1:12" x14ac:dyDescent="0.25">
      <c r="A21">
        <v>1020</v>
      </c>
      <c r="B21" s="1">
        <v>45350</v>
      </c>
      <c r="C21" t="s">
        <v>25</v>
      </c>
      <c r="D21" t="s">
        <v>22</v>
      </c>
      <c r="E21">
        <v>3</v>
      </c>
      <c r="F21" s="8" t="s">
        <v>38</v>
      </c>
      <c r="G21" s="6">
        <v>3000</v>
      </c>
      <c r="H21" t="s">
        <v>23</v>
      </c>
      <c r="I21" s="6">
        <v>9000</v>
      </c>
      <c r="J21" t="s">
        <v>24</v>
      </c>
      <c r="K21" s="8" t="s">
        <v>47</v>
      </c>
      <c r="L21" t="s">
        <v>26</v>
      </c>
    </row>
    <row r="22" spans="1:12" x14ac:dyDescent="0.25">
      <c r="A22">
        <v>1021</v>
      </c>
      <c r="B22" s="1">
        <v>45353</v>
      </c>
      <c r="C22" t="s">
        <v>10</v>
      </c>
      <c r="D22" t="s">
        <v>11</v>
      </c>
      <c r="E22">
        <v>2</v>
      </c>
      <c r="F22" s="8" t="s">
        <v>34</v>
      </c>
      <c r="G22" s="6">
        <v>12000</v>
      </c>
      <c r="H22" t="s">
        <v>12</v>
      </c>
      <c r="I22" s="6">
        <v>24000</v>
      </c>
      <c r="J22" t="s">
        <v>13</v>
      </c>
      <c r="K22" s="8" t="s">
        <v>35</v>
      </c>
      <c r="L22" t="s">
        <v>27</v>
      </c>
    </row>
    <row r="23" spans="1:12" x14ac:dyDescent="0.25">
      <c r="A23">
        <v>1022</v>
      </c>
      <c r="B23" s="1">
        <v>45355</v>
      </c>
      <c r="C23" t="s">
        <v>15</v>
      </c>
      <c r="D23" t="s">
        <v>11</v>
      </c>
      <c r="E23">
        <v>5</v>
      </c>
      <c r="F23" s="8" t="s">
        <v>36</v>
      </c>
      <c r="G23" s="6">
        <v>8000</v>
      </c>
      <c r="H23" t="s">
        <v>16</v>
      </c>
      <c r="I23" s="6">
        <v>40000</v>
      </c>
      <c r="J23" t="s">
        <v>17</v>
      </c>
      <c r="K23" s="8" t="s">
        <v>37</v>
      </c>
      <c r="L23" t="s">
        <v>27</v>
      </c>
    </row>
    <row r="24" spans="1:12" x14ac:dyDescent="0.25">
      <c r="A24">
        <v>1023</v>
      </c>
      <c r="B24" s="1">
        <v>45357</v>
      </c>
      <c r="C24" t="s">
        <v>18</v>
      </c>
      <c r="D24" t="s">
        <v>11</v>
      </c>
      <c r="E24">
        <v>3</v>
      </c>
      <c r="F24" s="8" t="s">
        <v>38</v>
      </c>
      <c r="G24" s="6">
        <v>6000</v>
      </c>
      <c r="H24" t="s">
        <v>19</v>
      </c>
      <c r="I24" s="6">
        <v>18000</v>
      </c>
      <c r="J24" t="s">
        <v>20</v>
      </c>
      <c r="K24" s="8" t="s">
        <v>39</v>
      </c>
      <c r="L24" t="s">
        <v>27</v>
      </c>
    </row>
    <row r="25" spans="1:12" x14ac:dyDescent="0.25">
      <c r="A25">
        <v>1024</v>
      </c>
      <c r="B25" s="1">
        <v>45359</v>
      </c>
      <c r="C25" t="s">
        <v>21</v>
      </c>
      <c r="D25" t="s">
        <v>22</v>
      </c>
      <c r="E25">
        <v>4</v>
      </c>
      <c r="F25" s="8" t="s">
        <v>48</v>
      </c>
      <c r="G25" s="6">
        <v>1500</v>
      </c>
      <c r="H25" t="s">
        <v>23</v>
      </c>
      <c r="I25" s="6">
        <v>6000</v>
      </c>
      <c r="J25" t="s">
        <v>24</v>
      </c>
      <c r="K25" s="8" t="s">
        <v>41</v>
      </c>
      <c r="L25" t="s">
        <v>27</v>
      </c>
    </row>
    <row r="26" spans="1:12" x14ac:dyDescent="0.25">
      <c r="A26">
        <v>1025</v>
      </c>
      <c r="B26" s="1">
        <v>45361</v>
      </c>
      <c r="C26" t="s">
        <v>25</v>
      </c>
      <c r="D26" t="s">
        <v>22</v>
      </c>
      <c r="E26">
        <v>2</v>
      </c>
      <c r="F26" s="8" t="s">
        <v>34</v>
      </c>
      <c r="G26" s="6">
        <v>3000</v>
      </c>
      <c r="H26" t="s">
        <v>12</v>
      </c>
      <c r="I26" s="6">
        <v>6000</v>
      </c>
      <c r="J26" t="s">
        <v>13</v>
      </c>
      <c r="K26" s="8" t="s">
        <v>41</v>
      </c>
      <c r="L26" t="s">
        <v>27</v>
      </c>
    </row>
    <row r="27" spans="1:12" x14ac:dyDescent="0.25">
      <c r="A27">
        <v>1026</v>
      </c>
      <c r="B27" s="1">
        <v>45363</v>
      </c>
      <c r="C27" t="s">
        <v>10</v>
      </c>
      <c r="D27" t="s">
        <v>11</v>
      </c>
      <c r="E27">
        <v>1</v>
      </c>
      <c r="F27" s="8" t="s">
        <v>42</v>
      </c>
      <c r="G27" s="6">
        <v>12000</v>
      </c>
      <c r="H27" t="s">
        <v>16</v>
      </c>
      <c r="I27" s="6">
        <v>12000</v>
      </c>
      <c r="J27" t="s">
        <v>17</v>
      </c>
      <c r="K27" s="8" t="s">
        <v>43</v>
      </c>
      <c r="L27" t="s">
        <v>27</v>
      </c>
    </row>
    <row r="28" spans="1:12" x14ac:dyDescent="0.25">
      <c r="A28">
        <v>1027</v>
      </c>
      <c r="B28" s="1">
        <v>45365</v>
      </c>
      <c r="C28" t="s">
        <v>15</v>
      </c>
      <c r="D28" t="s">
        <v>11</v>
      </c>
      <c r="E28">
        <v>6</v>
      </c>
      <c r="F28" s="8" t="s">
        <v>44</v>
      </c>
      <c r="G28" s="6">
        <v>8000</v>
      </c>
      <c r="H28" t="s">
        <v>19</v>
      </c>
      <c r="I28" s="6">
        <v>48000</v>
      </c>
      <c r="J28" t="s">
        <v>20</v>
      </c>
      <c r="K28" s="8" t="s">
        <v>45</v>
      </c>
      <c r="L28" t="s">
        <v>27</v>
      </c>
    </row>
    <row r="29" spans="1:12" x14ac:dyDescent="0.25">
      <c r="A29">
        <v>1028</v>
      </c>
      <c r="B29" s="1">
        <v>45367</v>
      </c>
      <c r="C29" t="s">
        <v>18</v>
      </c>
      <c r="D29" t="s">
        <v>11</v>
      </c>
      <c r="E29">
        <v>2</v>
      </c>
      <c r="F29" s="8" t="s">
        <v>34</v>
      </c>
      <c r="G29" s="6">
        <v>6000</v>
      </c>
      <c r="H29" t="s">
        <v>23</v>
      </c>
      <c r="I29" s="6">
        <v>12000</v>
      </c>
      <c r="J29" t="s">
        <v>24</v>
      </c>
      <c r="K29" s="8" t="s">
        <v>43</v>
      </c>
      <c r="L29" t="s">
        <v>27</v>
      </c>
    </row>
    <row r="30" spans="1:12" x14ac:dyDescent="0.25">
      <c r="A30">
        <v>1029</v>
      </c>
      <c r="B30" s="1">
        <v>45369</v>
      </c>
      <c r="C30" t="s">
        <v>21</v>
      </c>
      <c r="D30" t="s">
        <v>22</v>
      </c>
      <c r="E30">
        <v>5</v>
      </c>
      <c r="F30" s="8" t="s">
        <v>36</v>
      </c>
      <c r="G30" s="6">
        <v>1500</v>
      </c>
      <c r="H30" t="s">
        <v>12</v>
      </c>
      <c r="I30" s="6">
        <v>7500</v>
      </c>
      <c r="J30" t="s">
        <v>13</v>
      </c>
      <c r="K30" s="8" t="s">
        <v>46</v>
      </c>
      <c r="L30" t="s">
        <v>27</v>
      </c>
    </row>
    <row r="31" spans="1:12" x14ac:dyDescent="0.25">
      <c r="A31">
        <v>1030</v>
      </c>
      <c r="B31" s="1">
        <v>45371</v>
      </c>
      <c r="C31" t="s">
        <v>25</v>
      </c>
      <c r="D31" t="s">
        <v>22</v>
      </c>
      <c r="E31">
        <v>3</v>
      </c>
      <c r="F31" s="8" t="s">
        <v>38</v>
      </c>
      <c r="G31" s="6">
        <v>3000</v>
      </c>
      <c r="H31" t="s">
        <v>16</v>
      </c>
      <c r="I31" s="6">
        <v>9000</v>
      </c>
      <c r="J31" t="s">
        <v>17</v>
      </c>
      <c r="K31" s="8" t="s">
        <v>47</v>
      </c>
      <c r="L31" t="s">
        <v>27</v>
      </c>
    </row>
    <row r="32" spans="1:12" x14ac:dyDescent="0.25">
      <c r="A32">
        <v>1031</v>
      </c>
      <c r="B32" s="1">
        <v>45373</v>
      </c>
      <c r="C32" t="s">
        <v>10</v>
      </c>
      <c r="D32" t="s">
        <v>11</v>
      </c>
      <c r="E32">
        <v>2</v>
      </c>
      <c r="F32" s="8" t="s">
        <v>34</v>
      </c>
      <c r="G32" s="6">
        <v>12000</v>
      </c>
      <c r="H32" t="s">
        <v>19</v>
      </c>
      <c r="I32" s="6">
        <v>24000</v>
      </c>
      <c r="J32" t="s">
        <v>20</v>
      </c>
      <c r="K32" s="8" t="s">
        <v>35</v>
      </c>
      <c r="L32" t="s">
        <v>27</v>
      </c>
    </row>
    <row r="33" spans="1:12" x14ac:dyDescent="0.25">
      <c r="A33">
        <v>1032</v>
      </c>
      <c r="B33" s="1">
        <v>45375</v>
      </c>
      <c r="C33" t="s">
        <v>15</v>
      </c>
      <c r="D33" t="s">
        <v>11</v>
      </c>
      <c r="E33">
        <v>4</v>
      </c>
      <c r="F33" s="8" t="s">
        <v>48</v>
      </c>
      <c r="G33" s="6">
        <v>8000</v>
      </c>
      <c r="H33" t="s">
        <v>23</v>
      </c>
      <c r="I33" s="6">
        <v>32000</v>
      </c>
      <c r="J33" t="s">
        <v>24</v>
      </c>
      <c r="K33" s="8" t="s">
        <v>49</v>
      </c>
      <c r="L33" t="s">
        <v>27</v>
      </c>
    </row>
    <row r="34" spans="1:12" x14ac:dyDescent="0.25">
      <c r="A34">
        <v>1033</v>
      </c>
      <c r="B34" s="1">
        <v>45377</v>
      </c>
      <c r="C34" t="s">
        <v>18</v>
      </c>
      <c r="D34" t="s">
        <v>11</v>
      </c>
      <c r="E34">
        <v>3</v>
      </c>
      <c r="F34" s="8" t="s">
        <v>38</v>
      </c>
      <c r="G34" s="6">
        <v>6000</v>
      </c>
      <c r="H34" t="s">
        <v>12</v>
      </c>
      <c r="I34" s="6">
        <v>18000</v>
      </c>
      <c r="J34" t="s">
        <v>13</v>
      </c>
      <c r="K34" s="8" t="s">
        <v>39</v>
      </c>
      <c r="L34" t="s">
        <v>27</v>
      </c>
    </row>
    <row r="35" spans="1:12" x14ac:dyDescent="0.25">
      <c r="A35">
        <v>1034</v>
      </c>
      <c r="B35" s="1">
        <v>45379</v>
      </c>
      <c r="C35" t="s">
        <v>21</v>
      </c>
      <c r="D35" t="s">
        <v>22</v>
      </c>
      <c r="E35">
        <v>6</v>
      </c>
      <c r="F35" s="8" t="s">
        <v>44</v>
      </c>
      <c r="G35" s="6">
        <v>1500</v>
      </c>
      <c r="H35" t="s">
        <v>16</v>
      </c>
      <c r="I35" s="6">
        <v>9000</v>
      </c>
      <c r="J35" t="s">
        <v>17</v>
      </c>
      <c r="K35" s="8" t="s">
        <v>47</v>
      </c>
      <c r="L35" t="s">
        <v>27</v>
      </c>
    </row>
    <row r="36" spans="1:12" x14ac:dyDescent="0.25">
      <c r="A36">
        <v>1035</v>
      </c>
      <c r="B36" s="1">
        <v>45381</v>
      </c>
      <c r="C36" t="s">
        <v>25</v>
      </c>
      <c r="D36" t="s">
        <v>22</v>
      </c>
      <c r="E36">
        <v>2</v>
      </c>
      <c r="F36" s="8" t="s">
        <v>34</v>
      </c>
      <c r="G36" s="6">
        <v>3000</v>
      </c>
      <c r="H36" t="s">
        <v>19</v>
      </c>
      <c r="I36" s="6">
        <v>6000</v>
      </c>
      <c r="J36" t="s">
        <v>20</v>
      </c>
      <c r="K36" s="8" t="s">
        <v>41</v>
      </c>
      <c r="L36" t="s">
        <v>27</v>
      </c>
    </row>
    <row r="37" spans="1:12" x14ac:dyDescent="0.25">
      <c r="A37">
        <v>1036</v>
      </c>
      <c r="B37" s="1">
        <v>45384</v>
      </c>
      <c r="C37" t="s">
        <v>10</v>
      </c>
      <c r="D37" t="s">
        <v>11</v>
      </c>
      <c r="E37">
        <v>1</v>
      </c>
      <c r="F37" s="8" t="s">
        <v>42</v>
      </c>
      <c r="G37" s="6">
        <v>12000</v>
      </c>
      <c r="H37" t="s">
        <v>23</v>
      </c>
      <c r="I37" s="6">
        <v>12000</v>
      </c>
      <c r="J37" t="s">
        <v>24</v>
      </c>
      <c r="K37" s="8" t="s">
        <v>43</v>
      </c>
      <c r="L37" t="s">
        <v>28</v>
      </c>
    </row>
    <row r="38" spans="1:12" x14ac:dyDescent="0.25">
      <c r="A38">
        <v>1037</v>
      </c>
      <c r="B38" s="1">
        <v>45386</v>
      </c>
      <c r="C38" t="s">
        <v>15</v>
      </c>
      <c r="D38" t="s">
        <v>11</v>
      </c>
      <c r="E38">
        <v>7</v>
      </c>
      <c r="F38" s="8" t="s">
        <v>50</v>
      </c>
      <c r="G38" s="6">
        <v>8000</v>
      </c>
      <c r="H38" t="s">
        <v>12</v>
      </c>
      <c r="I38" s="6">
        <v>56000</v>
      </c>
      <c r="J38" t="s">
        <v>13</v>
      </c>
      <c r="K38" s="8" t="s">
        <v>51</v>
      </c>
      <c r="L38" t="s">
        <v>28</v>
      </c>
    </row>
    <row r="39" spans="1:12" x14ac:dyDescent="0.25">
      <c r="A39">
        <v>1038</v>
      </c>
      <c r="B39" s="1">
        <v>45388</v>
      </c>
      <c r="C39" t="s">
        <v>18</v>
      </c>
      <c r="D39" t="s">
        <v>11</v>
      </c>
      <c r="E39">
        <v>2</v>
      </c>
      <c r="F39" s="8" t="s">
        <v>34</v>
      </c>
      <c r="G39" s="6">
        <v>6000</v>
      </c>
      <c r="H39" t="s">
        <v>16</v>
      </c>
      <c r="I39" s="6">
        <v>12000</v>
      </c>
      <c r="J39" t="s">
        <v>17</v>
      </c>
      <c r="K39" s="8" t="s">
        <v>43</v>
      </c>
      <c r="L39" t="s">
        <v>28</v>
      </c>
    </row>
    <row r="40" spans="1:12" x14ac:dyDescent="0.25">
      <c r="A40">
        <v>1039</v>
      </c>
      <c r="B40" s="1">
        <v>45390</v>
      </c>
      <c r="C40" t="s">
        <v>21</v>
      </c>
      <c r="D40" t="s">
        <v>22</v>
      </c>
      <c r="E40">
        <v>4</v>
      </c>
      <c r="F40" s="8" t="s">
        <v>48</v>
      </c>
      <c r="G40" s="6">
        <v>1500</v>
      </c>
      <c r="H40" t="s">
        <v>19</v>
      </c>
      <c r="I40" s="6">
        <v>6000</v>
      </c>
      <c r="J40" t="s">
        <v>20</v>
      </c>
      <c r="K40" s="8" t="s">
        <v>41</v>
      </c>
      <c r="L40" t="s">
        <v>28</v>
      </c>
    </row>
    <row r="41" spans="1:12" x14ac:dyDescent="0.25">
      <c r="A41">
        <v>1040</v>
      </c>
      <c r="B41" s="1">
        <v>45392</v>
      </c>
      <c r="C41" t="s">
        <v>25</v>
      </c>
      <c r="D41" t="s">
        <v>22</v>
      </c>
      <c r="E41">
        <v>3</v>
      </c>
      <c r="F41" s="8" t="s">
        <v>38</v>
      </c>
      <c r="G41" s="6">
        <v>3000</v>
      </c>
      <c r="H41" t="s">
        <v>23</v>
      </c>
      <c r="I41" s="6">
        <v>9000</v>
      </c>
      <c r="J41" t="s">
        <v>24</v>
      </c>
      <c r="K41" s="8" t="s">
        <v>47</v>
      </c>
      <c r="L41" t="s">
        <v>28</v>
      </c>
    </row>
    <row r="42" spans="1:12" x14ac:dyDescent="0.25">
      <c r="A42">
        <v>1041</v>
      </c>
      <c r="B42" s="1">
        <v>45394</v>
      </c>
      <c r="C42" t="s">
        <v>10</v>
      </c>
      <c r="D42" t="s">
        <v>11</v>
      </c>
      <c r="E42">
        <v>2</v>
      </c>
      <c r="F42" s="8" t="s">
        <v>34</v>
      </c>
      <c r="G42" s="6">
        <v>12000</v>
      </c>
      <c r="H42" t="s">
        <v>12</v>
      </c>
      <c r="I42" s="6">
        <v>24000</v>
      </c>
      <c r="J42" t="s">
        <v>13</v>
      </c>
      <c r="K42" s="8" t="s">
        <v>35</v>
      </c>
      <c r="L42" t="s">
        <v>28</v>
      </c>
    </row>
    <row r="43" spans="1:12" x14ac:dyDescent="0.25">
      <c r="A43">
        <v>1042</v>
      </c>
      <c r="B43" s="1">
        <v>45396</v>
      </c>
      <c r="C43" t="s">
        <v>15</v>
      </c>
      <c r="D43" t="s">
        <v>11</v>
      </c>
      <c r="E43">
        <v>5</v>
      </c>
      <c r="F43" s="8" t="s">
        <v>36</v>
      </c>
      <c r="G43" s="6">
        <v>8000</v>
      </c>
      <c r="H43" t="s">
        <v>16</v>
      </c>
      <c r="I43" s="6">
        <v>40000</v>
      </c>
      <c r="J43" t="s">
        <v>17</v>
      </c>
      <c r="K43" s="8" t="s">
        <v>37</v>
      </c>
      <c r="L43" t="s">
        <v>28</v>
      </c>
    </row>
    <row r="44" spans="1:12" x14ac:dyDescent="0.25">
      <c r="A44">
        <v>1043</v>
      </c>
      <c r="B44" s="1">
        <v>45398</v>
      </c>
      <c r="C44" t="s">
        <v>18</v>
      </c>
      <c r="D44" t="s">
        <v>11</v>
      </c>
      <c r="E44">
        <v>3</v>
      </c>
      <c r="F44" s="8" t="s">
        <v>38</v>
      </c>
      <c r="G44" s="6">
        <v>6000</v>
      </c>
      <c r="H44" t="s">
        <v>19</v>
      </c>
      <c r="I44" s="6">
        <v>18000</v>
      </c>
      <c r="J44" t="s">
        <v>20</v>
      </c>
      <c r="K44" s="8" t="s">
        <v>39</v>
      </c>
      <c r="L44" t="s">
        <v>28</v>
      </c>
    </row>
    <row r="45" spans="1:12" x14ac:dyDescent="0.25">
      <c r="A45">
        <v>1044</v>
      </c>
      <c r="B45" s="1">
        <v>45400</v>
      </c>
      <c r="C45" t="s">
        <v>21</v>
      </c>
      <c r="D45" t="s">
        <v>22</v>
      </c>
      <c r="E45">
        <v>3</v>
      </c>
      <c r="F45" s="8" t="s">
        <v>38</v>
      </c>
      <c r="G45" s="6">
        <v>1500</v>
      </c>
      <c r="H45" t="s">
        <v>23</v>
      </c>
      <c r="I45" s="6">
        <v>4500</v>
      </c>
      <c r="J45" t="s">
        <v>24</v>
      </c>
      <c r="K45" s="8" t="s">
        <v>40</v>
      </c>
      <c r="L45" t="s">
        <v>28</v>
      </c>
    </row>
    <row r="46" spans="1:12" x14ac:dyDescent="0.25">
      <c r="A46">
        <v>1045</v>
      </c>
      <c r="B46" s="1">
        <v>45402</v>
      </c>
      <c r="C46" t="s">
        <v>25</v>
      </c>
      <c r="D46" t="s">
        <v>22</v>
      </c>
      <c r="E46">
        <v>2</v>
      </c>
      <c r="F46" s="8" t="s">
        <v>34</v>
      </c>
      <c r="G46" s="6">
        <v>3000</v>
      </c>
      <c r="H46" t="s">
        <v>12</v>
      </c>
      <c r="I46" s="6">
        <v>6000</v>
      </c>
      <c r="J46" t="s">
        <v>13</v>
      </c>
      <c r="K46" s="8" t="s">
        <v>41</v>
      </c>
      <c r="L46" t="s">
        <v>28</v>
      </c>
    </row>
    <row r="47" spans="1:12" x14ac:dyDescent="0.25">
      <c r="A47">
        <v>1046</v>
      </c>
      <c r="B47" s="1">
        <v>45404</v>
      </c>
      <c r="C47" t="s">
        <v>10</v>
      </c>
      <c r="D47" t="s">
        <v>11</v>
      </c>
      <c r="E47">
        <v>1</v>
      </c>
      <c r="F47" s="8" t="s">
        <v>42</v>
      </c>
      <c r="G47" s="6">
        <v>12000</v>
      </c>
      <c r="H47" t="s">
        <v>16</v>
      </c>
      <c r="I47" s="6">
        <v>12000</v>
      </c>
      <c r="J47" t="s">
        <v>17</v>
      </c>
      <c r="K47" s="8" t="s">
        <v>43</v>
      </c>
      <c r="L47" t="s">
        <v>28</v>
      </c>
    </row>
    <row r="48" spans="1:12" x14ac:dyDescent="0.25">
      <c r="A48">
        <v>1047</v>
      </c>
      <c r="B48" s="1">
        <v>45406</v>
      </c>
      <c r="C48" t="s">
        <v>15</v>
      </c>
      <c r="D48" t="s">
        <v>11</v>
      </c>
      <c r="E48">
        <v>6</v>
      </c>
      <c r="F48" s="8" t="s">
        <v>44</v>
      </c>
      <c r="G48" s="6">
        <v>8000</v>
      </c>
      <c r="H48" t="s">
        <v>19</v>
      </c>
      <c r="I48" s="6">
        <v>48000</v>
      </c>
      <c r="J48" t="s">
        <v>20</v>
      </c>
      <c r="K48" s="8" t="s">
        <v>45</v>
      </c>
      <c r="L48" t="s">
        <v>28</v>
      </c>
    </row>
    <row r="49" spans="1:12" x14ac:dyDescent="0.25">
      <c r="A49">
        <v>1048</v>
      </c>
      <c r="B49" s="1">
        <v>45408</v>
      </c>
      <c r="C49" t="s">
        <v>18</v>
      </c>
      <c r="D49" t="s">
        <v>11</v>
      </c>
      <c r="E49">
        <v>2</v>
      </c>
      <c r="F49" s="8" t="s">
        <v>34</v>
      </c>
      <c r="G49" s="6">
        <v>6000</v>
      </c>
      <c r="H49" t="s">
        <v>23</v>
      </c>
      <c r="I49" s="6">
        <v>12000</v>
      </c>
      <c r="J49" t="s">
        <v>24</v>
      </c>
      <c r="K49" s="8" t="s">
        <v>43</v>
      </c>
      <c r="L49" t="s">
        <v>28</v>
      </c>
    </row>
    <row r="50" spans="1:12" x14ac:dyDescent="0.25">
      <c r="A50">
        <v>1049</v>
      </c>
      <c r="B50" s="1">
        <v>45410</v>
      </c>
      <c r="C50" t="s">
        <v>21</v>
      </c>
      <c r="D50" t="s">
        <v>22</v>
      </c>
      <c r="E50">
        <v>5</v>
      </c>
      <c r="F50" s="8" t="s">
        <v>36</v>
      </c>
      <c r="G50" s="6">
        <v>1500</v>
      </c>
      <c r="H50" t="s">
        <v>12</v>
      </c>
      <c r="I50" s="6">
        <v>7500</v>
      </c>
      <c r="J50" t="s">
        <v>13</v>
      </c>
      <c r="K50" s="8" t="s">
        <v>46</v>
      </c>
      <c r="L50" t="s">
        <v>28</v>
      </c>
    </row>
    <row r="51" spans="1:12" x14ac:dyDescent="0.25">
      <c r="A51">
        <v>1050</v>
      </c>
      <c r="B51" s="1">
        <v>45412</v>
      </c>
      <c r="C51" t="s">
        <v>25</v>
      </c>
      <c r="D51" t="s">
        <v>22</v>
      </c>
      <c r="E51">
        <v>3</v>
      </c>
      <c r="F51" s="8" t="s">
        <v>38</v>
      </c>
      <c r="G51" s="6">
        <v>3000</v>
      </c>
      <c r="H51" t="s">
        <v>16</v>
      </c>
      <c r="I51" s="6">
        <v>9000</v>
      </c>
      <c r="J51" t="s">
        <v>17</v>
      </c>
      <c r="K51" s="8" t="s">
        <v>47</v>
      </c>
      <c r="L51" t="s">
        <v>28</v>
      </c>
    </row>
  </sheetData>
  <phoneticPr fontId="1"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FA93CFE-305E-4BF4-886E-D929DCBF459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Dashboard</vt:lpstr>
      <vt:lpstr>clean_sales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Teolan Govender</dc:creator>
  <cp:lastModifiedBy>Teolan Govender</cp:lastModifiedBy>
  <dcterms:created xsi:type="dcterms:W3CDTF">2015-06-05T18:17:20Z</dcterms:created>
  <dcterms:modified xsi:type="dcterms:W3CDTF">2026-04-15T08:42:39Z</dcterms:modified>
</cp:coreProperties>
</file>